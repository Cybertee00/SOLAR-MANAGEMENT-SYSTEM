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autoCompressPictures="0"/>
  <mc:AlternateContent xmlns:mc="http://schemas.openxmlformats.org/markup-compatibility/2006">
    <mc:Choice Requires="x15">
      <x15ac:absPath xmlns:x15ac="http://schemas.microsoft.com/office/spreadsheetml/2010/11/ac" url="D:\Downloads\"/>
    </mc:Choice>
  </mc:AlternateContent>
  <xr:revisionPtr revIDLastSave="0" documentId="8_{F51C0622-6408-4663-B145-9EE5613B5E74}" xr6:coauthVersionLast="47" xr6:coauthVersionMax="47" xr10:uidLastSave="{00000000-0000-0000-0000-000000000000}"/>
  <bookViews>
    <workbookView xWindow="-120" yWindow="-120" windowWidth="20730" windowHeight="11760" tabRatio="788" firstSheet="1" activeTab="1" xr2:uid="{00000000-000D-0000-FFFF-FFFF00000000}"/>
  </bookViews>
  <sheets>
    <sheet name="Maintenance plan" sheetId="15" r:id="rId1"/>
    <sheet name="Jan-Dec 2026" sheetId="14" r:id="rId2"/>
    <sheet name="PREVENTATIVE MAINTENANCE" sheetId="16" r:id="rId3"/>
  </sheets>
  <definedNames>
    <definedName name="Calendar10Month">'Jan-Dec 2026'!$C$180</definedName>
    <definedName name="Calendar10MonthOption">MATCH(Calendar10Month,Months,0)</definedName>
    <definedName name="Calendar10Year">'Jan-Dec 2026'!$B$180</definedName>
    <definedName name="Calendar11Month">'Jan-Dec 2026'!$C$201</definedName>
    <definedName name="Calendar11MonthOption">MATCH(Calendar11Month,Months,0)</definedName>
    <definedName name="Calendar11Year">'Jan-Dec 2026'!$B$201</definedName>
    <definedName name="Calendar12Month">'Jan-Dec 2026'!$C$222</definedName>
    <definedName name="Calendar12MonthOption">MATCH(Calendar12Month,Months,0)</definedName>
    <definedName name="Calendar12Year">'Jan-Dec 2026'!$B$222</definedName>
    <definedName name="Calendar1Month">'Jan-Dec 2026'!$C$1</definedName>
    <definedName name="Calendar1MonthOption">MATCH(Calendar1Month,Months,0)</definedName>
    <definedName name="Calendar1Year">'Jan-Dec 2026'!$B$1</definedName>
    <definedName name="Calendar2Month">'Jan-Dec 2026'!$C$24</definedName>
    <definedName name="Calendar2MonthOption">MATCH(Calendar2Month,Months,0)</definedName>
    <definedName name="Calendar2Year">'Jan-Dec 2026'!$B$24</definedName>
    <definedName name="Calendar3Month">'Jan-Dec 2026'!$C$43</definedName>
    <definedName name="Calendar3MonthOption">MATCH(Calendar3Month,Months,0)</definedName>
    <definedName name="Calendar3Year">'Jan-Dec 2026'!$B$43</definedName>
    <definedName name="Calendar4Month">'Jan-Dec 2026'!$C$63</definedName>
    <definedName name="Calendar4MonthOption">MATCH(Calendar4Month,Months,0)</definedName>
    <definedName name="Calendar4Year">'Jan-Dec 2026'!$B$63</definedName>
    <definedName name="Calendar5Month">'Jan-Dec 2026'!$C$83</definedName>
    <definedName name="Calendar5MonthOption">MATCH(Calendar5Month,Months,0)</definedName>
    <definedName name="Calendar5Year">'Jan-Dec 2026'!$B$83</definedName>
    <definedName name="Calendar6Month">'Jan-Dec 2026'!$C$102</definedName>
    <definedName name="Calendar6MonthOption">MATCH(Calendar6Month,Months,0)</definedName>
    <definedName name="Calendar6Year">'Jan-Dec 2026'!$B$102</definedName>
    <definedName name="Calendar7Month">'Jan-Dec 2026'!$C$123</definedName>
    <definedName name="Calendar7MonthOption">MATCH(Calendar7Month,Months,0)</definedName>
    <definedName name="Calendar7Year">'Jan-Dec 2026'!$B$123</definedName>
    <definedName name="Calendar8Month">'Jan-Dec 2026'!$C$142</definedName>
    <definedName name="Calendar8MonthOption">MATCH(Calendar8Month,Months,0)</definedName>
    <definedName name="Calendar8Year">'Jan-Dec 2026'!$B$142</definedName>
    <definedName name="Calendar9Month">'Jan-Dec 2026'!$C$161</definedName>
    <definedName name="Calendar9MonthOption">MATCH(Calendar9Month,Months,0)</definedName>
    <definedName name="Calendar9Year">'Jan-Dec 2026'!$B$161</definedName>
    <definedName name="ColumnTitleRegion1..H12.1">'Jan-Dec 2026'!$B$2</definedName>
    <definedName name="ColumnTitleRegion10..H54.1">'Jan-Dec 2026'!$B$64</definedName>
    <definedName name="ColumnTitleRegion11..C56.1">'Jan-Dec 2026'!$B$64</definedName>
    <definedName name="ColumnTitleRegion12..D56.1">'Jan-Dec 2026'!#REF!</definedName>
    <definedName name="ColumnTitleRegion13..H68.1">'Jan-Dec 2026'!$B$84</definedName>
    <definedName name="ColumnTitleRegion14..C70.1">'Jan-Dec 2026'!$B$84</definedName>
    <definedName name="ColumnTitleRegion15..D70.1">'Jan-Dec 2026'!#REF!</definedName>
    <definedName name="ColumnTitleRegion16..H82.1">'Jan-Dec 2026'!$B$103</definedName>
    <definedName name="ColumnTitleRegion17..C84.1">'Jan-Dec 2026'!$B$103</definedName>
    <definedName name="ColumnTitleRegion18..D84.1">'Jan-Dec 2026'!$D$121</definedName>
    <definedName name="ColumnTitleRegion19..H96.1">'Jan-Dec 2026'!$B$124</definedName>
    <definedName name="ColumnTitleRegion2..C14.1">'Jan-Dec 2026'!$B$2</definedName>
    <definedName name="ColumnTitleRegion20..C98.1">'Jan-Dec 2026'!$B$124</definedName>
    <definedName name="ColumnTitleRegion21..D98.1">'Jan-Dec 2026'!#REF!</definedName>
    <definedName name="ColumnTitleRegion22..H110.1">'Jan-Dec 2026'!$B$143</definedName>
    <definedName name="ColumnTitleRegion23..C112.1">'Jan-Dec 2026'!$B$143</definedName>
    <definedName name="ColumnTitleRegion24..D112.1">'Jan-Dec 2026'!#REF!</definedName>
    <definedName name="ColumnTitleRegion25..H124.1">'Jan-Dec 2026'!$B$162</definedName>
    <definedName name="ColumnTitleRegion26..C126.1">'Jan-Dec 2026'!$B$162</definedName>
    <definedName name="ColumnTitleRegion27..D126.1">'Jan-Dec 2026'!#REF!</definedName>
    <definedName name="ColumnTitleRegion28..H138.1">'Jan-Dec 2026'!$B$181</definedName>
    <definedName name="ColumnTitleRegion29..C140.1">'Jan-Dec 2026'!$B$181</definedName>
    <definedName name="ColumnTitleRegion3..D14.1">'Jan-Dec 2026'!#REF!</definedName>
    <definedName name="ColumnTitleRegion30..D140.1">'Jan-Dec 2026'!$D$199</definedName>
    <definedName name="ColumnTitleRegion31..H152.1">'Jan-Dec 2026'!$B$202</definedName>
    <definedName name="ColumnTitleRegion32..C154.1">'Jan-Dec 2026'!$B$202</definedName>
    <definedName name="ColumnTitleRegion33..D154.1">'Jan-Dec 2026'!$D$220</definedName>
    <definedName name="ColumnTitleRegion34..H166.1">'Jan-Dec 2026'!$B$223</definedName>
    <definedName name="ColumnTitleRegion35..C168.1">'Jan-Dec 2026'!$B$223</definedName>
    <definedName name="ColumnTitleRegion36..D168.1">'Jan-Dec 2026'!#REF!</definedName>
    <definedName name="ColumnTitleRegion4..H26.1">'Jan-Dec 2026'!$B$25</definedName>
    <definedName name="ColumnTitleRegion5..C28.1">'Jan-Dec 2026'!$B$25</definedName>
    <definedName name="ColumnTitleRegion6..D28.1">'Jan-Dec 2026'!#REF!</definedName>
    <definedName name="ColumnTitleRegion7..H40.1">'Jan-Dec 2026'!$B$44</definedName>
    <definedName name="ColumnTitleRegion8..C42.1">'Jan-Dec 2026'!$B$44</definedName>
    <definedName name="ColumnTitleRegion9..D42.1">'Jan-Dec 2026'!#REF!</definedName>
    <definedName name="Days">{0,1,2,3,4,5,6}</definedName>
    <definedName name="Months">{"January","February","March","April","May","June","July","August","September","October","November","December"}</definedName>
    <definedName name="_xlnm.Print_Area" localSheetId="1">'Jan-Dec 2026'!$B$1:$I$240</definedName>
    <definedName name="WeekdayOption">MATCH(WeekStart,Weekdays,0)+10</definedName>
    <definedName name="Weekdays">{"Monday","Tuesday","Wednesday","Thursday","Friday","Saturday","Sunday"}</definedName>
    <definedName name="WeekStart">'Jan-Dec 2026'!$B$2</definedName>
    <definedName name="WeekStartValue">IF(WeekStart="Monday",2,1)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9" i="16" l="1"/>
  <c r="J87" i="16"/>
  <c r="J85" i="16"/>
  <c r="J83" i="16"/>
  <c r="J81" i="16"/>
  <c r="J80" i="16"/>
  <c r="J79" i="16"/>
  <c r="J77" i="16"/>
  <c r="J76" i="16"/>
  <c r="J75" i="16"/>
  <c r="J73" i="16"/>
  <c r="J72" i="16"/>
  <c r="J70" i="16"/>
  <c r="J69" i="16"/>
  <c r="J67" i="16"/>
  <c r="J66" i="16"/>
  <c r="J65" i="16"/>
  <c r="J64" i="16"/>
  <c r="J62" i="16"/>
  <c r="J61" i="16"/>
  <c r="J60" i="16"/>
  <c r="J58" i="16"/>
  <c r="J57" i="16"/>
  <c r="J56" i="16"/>
  <c r="J55" i="16"/>
  <c r="J52" i="16"/>
  <c r="J51" i="16"/>
  <c r="J50" i="16"/>
  <c r="J47" i="16"/>
  <c r="J46" i="16"/>
  <c r="J44" i="16"/>
  <c r="J43" i="16"/>
  <c r="J41" i="16"/>
  <c r="J39" i="16"/>
  <c r="J38" i="16"/>
  <c r="J36" i="16"/>
  <c r="J35" i="16"/>
  <c r="J34" i="16"/>
  <c r="J32" i="16"/>
  <c r="J31" i="16"/>
  <c r="J30" i="16"/>
  <c r="J29" i="16"/>
  <c r="J27" i="16"/>
  <c r="J26" i="16"/>
  <c r="J25" i="16"/>
  <c r="J23" i="16"/>
  <c r="J22" i="16"/>
  <c r="J21" i="16"/>
  <c r="J19" i="16"/>
  <c r="J18" i="16"/>
  <c r="J17" i="16"/>
  <c r="V16" i="16"/>
  <c r="U16" i="16"/>
  <c r="T16" i="16"/>
  <c r="S16" i="16"/>
  <c r="R16" i="16"/>
  <c r="Q16" i="16"/>
  <c r="P16" i="16"/>
  <c r="O16" i="16"/>
  <c r="N16" i="16"/>
  <c r="M16" i="16"/>
  <c r="L16" i="16"/>
  <c r="K16" i="16"/>
  <c r="J16" i="16"/>
  <c r="J14" i="16"/>
  <c r="J13" i="16"/>
  <c r="J11" i="16"/>
  <c r="J10" i="16"/>
  <c r="J7" i="16"/>
  <c r="J5" i="16"/>
  <c r="J4" i="16"/>
  <c r="J89" i="15" l="1"/>
  <c r="J87" i="15"/>
  <c r="J85" i="15"/>
  <c r="J83" i="15"/>
  <c r="J81" i="15"/>
  <c r="J80" i="15"/>
  <c r="J79" i="15"/>
  <c r="J77" i="15"/>
  <c r="J76" i="15"/>
  <c r="J75" i="15"/>
  <c r="J73" i="15"/>
  <c r="J72" i="15"/>
  <c r="J70" i="15"/>
  <c r="J69" i="15"/>
  <c r="J67" i="15"/>
  <c r="J66" i="15"/>
  <c r="J65" i="15"/>
  <c r="J64" i="15"/>
  <c r="J62" i="15"/>
  <c r="J61" i="15"/>
  <c r="J60" i="15"/>
  <c r="J58" i="15"/>
  <c r="J57" i="15"/>
  <c r="J56" i="15"/>
  <c r="J55" i="15"/>
  <c r="J52" i="15"/>
  <c r="J51" i="15"/>
  <c r="J50" i="15"/>
  <c r="J47" i="15"/>
  <c r="J46" i="15"/>
  <c r="J44" i="15"/>
  <c r="J43" i="15"/>
  <c r="J41" i="15"/>
  <c r="J39" i="15"/>
  <c r="J38" i="15"/>
  <c r="J36" i="15"/>
  <c r="J35" i="15"/>
  <c r="J34" i="15"/>
  <c r="J32" i="15"/>
  <c r="J31" i="15"/>
  <c r="J30" i="15"/>
  <c r="J29" i="15"/>
  <c r="J27" i="15"/>
  <c r="J26" i="15"/>
  <c r="J25" i="15"/>
  <c r="J23" i="15"/>
  <c r="J22" i="15"/>
  <c r="J21" i="15"/>
  <c r="J19" i="15"/>
  <c r="J18" i="15"/>
  <c r="J17" i="15"/>
  <c r="V16" i="15"/>
  <c r="U16" i="15"/>
  <c r="T16" i="15"/>
  <c r="S16" i="15"/>
  <c r="R16" i="15"/>
  <c r="Q16" i="15"/>
  <c r="P16" i="15"/>
  <c r="O16" i="15"/>
  <c r="N16" i="15"/>
  <c r="M16" i="15"/>
  <c r="L16" i="15"/>
  <c r="K16" i="15"/>
  <c r="J16" i="15"/>
  <c r="J14" i="15"/>
  <c r="J13" i="15"/>
  <c r="J11" i="15"/>
  <c r="J10" i="15"/>
  <c r="J7" i="15"/>
  <c r="J5" i="15"/>
  <c r="J4" i="15"/>
  <c r="B24" i="14" l="1"/>
  <c r="B3" i="14" l="1" a="1"/>
  <c r="B3" i="14" s="1"/>
  <c r="B7" i="14" a="1"/>
  <c r="H7" i="14" s="1"/>
  <c r="B11" i="14" a="1"/>
  <c r="E11" i="14" s="1"/>
  <c r="B15" i="14" a="1"/>
  <c r="G15" i="14" s="1"/>
  <c r="B19" i="14" a="1"/>
  <c r="G19" i="14" s="1"/>
  <c r="C24" i="14"/>
  <c r="F7" i="14" l="1"/>
  <c r="B7" i="14"/>
  <c r="D7" i="14"/>
  <c r="C7" i="14"/>
  <c r="F19" i="14"/>
  <c r="D19" i="14"/>
  <c r="E7" i="14"/>
  <c r="G7" i="14"/>
  <c r="H3" i="14"/>
  <c r="H2" i="14" s="1"/>
  <c r="B29" i="14" a="1"/>
  <c r="C29" i="14" s="1"/>
  <c r="E15" i="14"/>
  <c r="B15" i="14"/>
  <c r="C3" i="14"/>
  <c r="C2" i="14" s="1"/>
  <c r="D3" i="14"/>
  <c r="D2" i="14" s="1"/>
  <c r="F15" i="14"/>
  <c r="F3" i="14"/>
  <c r="F2" i="14" s="1"/>
  <c r="E3" i="14"/>
  <c r="E2" i="14" s="1"/>
  <c r="C11" i="14"/>
  <c r="F11" i="14"/>
  <c r="G11" i="14"/>
  <c r="B39" i="14" a="1"/>
  <c r="B39" i="14" s="1"/>
  <c r="B26" i="14" a="1"/>
  <c r="B26" i="14" s="1"/>
  <c r="B25" i="14" s="1"/>
  <c r="B35" i="14" a="1"/>
  <c r="B35" i="14" s="1"/>
  <c r="B19" i="14"/>
  <c r="C15" i="14"/>
  <c r="H11" i="14"/>
  <c r="C19" i="14"/>
  <c r="E19" i="14"/>
  <c r="B32" i="14" a="1"/>
  <c r="F32" i="14" s="1"/>
  <c r="H15" i="14"/>
  <c r="D15" i="14"/>
  <c r="H19" i="14"/>
  <c r="D11" i="14"/>
  <c r="B11" i="14"/>
  <c r="G3" i="14"/>
  <c r="G2" i="14" s="1"/>
  <c r="C43" i="14"/>
  <c r="B43" i="14"/>
  <c r="B45" i="14" l="1" a="1"/>
  <c r="B45" i="14" s="1"/>
  <c r="F29" i="14"/>
  <c r="H29" i="14"/>
  <c r="G29" i="14"/>
  <c r="B29" i="14"/>
  <c r="E29" i="14"/>
  <c r="D29" i="14"/>
  <c r="B63" i="14"/>
  <c r="G26" i="14"/>
  <c r="G25" i="14" s="1"/>
  <c r="F26" i="14"/>
  <c r="F25" i="14" s="1"/>
  <c r="D26" i="14"/>
  <c r="D25" i="14" s="1"/>
  <c r="D35" i="14"/>
  <c r="H26" i="14"/>
  <c r="H25" i="14" s="1"/>
  <c r="H35" i="14"/>
  <c r="C26" i="14"/>
  <c r="C25" i="14" s="1"/>
  <c r="E26" i="14"/>
  <c r="E25" i="14" s="1"/>
  <c r="B32" i="14"/>
  <c r="C35" i="14"/>
  <c r="E35" i="14"/>
  <c r="G35" i="14"/>
  <c r="E39" i="14"/>
  <c r="F39" i="14"/>
  <c r="G39" i="14"/>
  <c r="F35" i="14"/>
  <c r="H39" i="14"/>
  <c r="D39" i="14"/>
  <c r="C39" i="14"/>
  <c r="C32" i="14"/>
  <c r="D32" i="14"/>
  <c r="E32" i="14"/>
  <c r="B51" i="14" a="1"/>
  <c r="B51" i="14" s="1"/>
  <c r="B55" i="14" a="1"/>
  <c r="H55" i="14" s="1"/>
  <c r="B48" i="14" a="1"/>
  <c r="D48" i="14" s="1"/>
  <c r="B58" i="14" a="1"/>
  <c r="H58" i="14" s="1"/>
  <c r="G32" i="14"/>
  <c r="H32" i="14"/>
  <c r="C63" i="14"/>
  <c r="G45" i="14" l="1"/>
  <c r="G44" i="14" s="1"/>
  <c r="C45" i="14"/>
  <c r="F45" i="14"/>
  <c r="E45" i="14"/>
  <c r="E44" i="14" s="1"/>
  <c r="D45" i="14"/>
  <c r="D44" i="14" s="1"/>
  <c r="H45" i="14"/>
  <c r="H44" i="14" s="1"/>
  <c r="B83" i="14"/>
  <c r="G51" i="14"/>
  <c r="C51" i="14"/>
  <c r="E58" i="14"/>
  <c r="D58" i="14"/>
  <c r="F51" i="14"/>
  <c r="B58" i="14"/>
  <c r="E51" i="14"/>
  <c r="H48" i="14"/>
  <c r="B48" i="14"/>
  <c r="B55" i="14"/>
  <c r="F55" i="14"/>
  <c r="B44" i="14"/>
  <c r="F44" i="14"/>
  <c r="C44" i="14"/>
  <c r="H51" i="14"/>
  <c r="E48" i="14"/>
  <c r="B79" i="14" a="1"/>
  <c r="E79" i="14" s="1"/>
  <c r="D51" i="14"/>
  <c r="D55" i="14"/>
  <c r="C55" i="14"/>
  <c r="E55" i="14"/>
  <c r="G55" i="14"/>
  <c r="B75" i="14" a="1"/>
  <c r="D75" i="14" s="1"/>
  <c r="B65" i="14" a="1"/>
  <c r="G65" i="14" s="1"/>
  <c r="G64" i="14" s="1"/>
  <c r="G48" i="14"/>
  <c r="C48" i="14"/>
  <c r="F48" i="14"/>
  <c r="C58" i="14"/>
  <c r="F58" i="14"/>
  <c r="G58" i="14"/>
  <c r="B72" i="14" a="1"/>
  <c r="H72" i="14" s="1"/>
  <c r="B69" i="14" a="1"/>
  <c r="B69" i="14" s="1"/>
  <c r="C83" i="14"/>
  <c r="H79" i="14" l="1"/>
  <c r="E75" i="14"/>
  <c r="C65" i="14"/>
  <c r="C64" i="14" s="1"/>
  <c r="G69" i="14"/>
  <c r="F69" i="14"/>
  <c r="C102" i="14"/>
  <c r="H69" i="14"/>
  <c r="G72" i="14"/>
  <c r="D69" i="14"/>
  <c r="B102" i="14"/>
  <c r="B72" i="14"/>
  <c r="B65" i="14"/>
  <c r="B64" i="14" s="1"/>
  <c r="F65" i="14"/>
  <c r="F64" i="14" s="1"/>
  <c r="C72" i="14"/>
  <c r="D72" i="14"/>
  <c r="H75" i="14"/>
  <c r="H65" i="14"/>
  <c r="H64" i="14" s="1"/>
  <c r="E65" i="14"/>
  <c r="E64" i="14" s="1"/>
  <c r="E69" i="14"/>
  <c r="F72" i="14"/>
  <c r="D65" i="14"/>
  <c r="D64" i="14" s="1"/>
  <c r="E72" i="14"/>
  <c r="C75" i="14"/>
  <c r="G75" i="14"/>
  <c r="B75" i="14"/>
  <c r="F79" i="14"/>
  <c r="B79" i="14"/>
  <c r="C79" i="14"/>
  <c r="F75" i="14"/>
  <c r="D79" i="14"/>
  <c r="G79" i="14"/>
  <c r="C69" i="14"/>
  <c r="B91" i="14" a="1"/>
  <c r="E91" i="14" s="1"/>
  <c r="B94" i="14" a="1"/>
  <c r="E94" i="14" s="1"/>
  <c r="B88" i="14" a="1"/>
  <c r="E88" i="14" s="1"/>
  <c r="B97" i="14" a="1"/>
  <c r="F97" i="14" s="1"/>
  <c r="B85" i="14" a="1"/>
  <c r="B85" i="14" s="1"/>
  <c r="B84" i="14" s="1"/>
  <c r="B107" i="14" l="1" a="1"/>
  <c r="B107" i="14" s="1"/>
  <c r="B121" i="14" a="1"/>
  <c r="B117" i="14" a="1"/>
  <c r="E117" i="14" s="1"/>
  <c r="B97" i="14"/>
  <c r="D91" i="14"/>
  <c r="C88" i="14"/>
  <c r="H88" i="14"/>
  <c r="B88" i="14"/>
  <c r="F91" i="14"/>
  <c r="B104" i="14" a="1"/>
  <c r="B114" i="14" a="1"/>
  <c r="D114" i="14" s="1"/>
  <c r="G88" i="14"/>
  <c r="C123" i="14"/>
  <c r="B123" i="14"/>
  <c r="F88" i="14"/>
  <c r="D88" i="14"/>
  <c r="B111" i="14" a="1"/>
  <c r="C111" i="14" s="1"/>
  <c r="H91" i="14"/>
  <c r="D94" i="14"/>
  <c r="H85" i="14"/>
  <c r="H84" i="14" s="1"/>
  <c r="G97" i="14"/>
  <c r="D97" i="14"/>
  <c r="C91" i="14"/>
  <c r="G91" i="14"/>
  <c r="B91" i="14"/>
  <c r="G94" i="14"/>
  <c r="B94" i="14"/>
  <c r="C94" i="14"/>
  <c r="F85" i="14"/>
  <c r="F84" i="14" s="1"/>
  <c r="E85" i="14"/>
  <c r="E84" i="14" s="1"/>
  <c r="C85" i="14"/>
  <c r="C84" i="14" s="1"/>
  <c r="H97" i="14"/>
  <c r="G85" i="14"/>
  <c r="G84" i="14" s="1"/>
  <c r="H94" i="14"/>
  <c r="C97" i="14"/>
  <c r="F94" i="14"/>
  <c r="D85" i="14"/>
  <c r="D84" i="14" s="1"/>
  <c r="E97" i="14"/>
  <c r="C107" i="14" l="1"/>
  <c r="E107" i="14"/>
  <c r="D107" i="14"/>
  <c r="H107" i="14"/>
  <c r="F107" i="14"/>
  <c r="G107" i="14"/>
  <c r="C117" i="14"/>
  <c r="B117" i="14"/>
  <c r="F117" i="14"/>
  <c r="B131" i="14" a="1"/>
  <c r="D131" i="14" s="1"/>
  <c r="G114" i="14"/>
  <c r="C142" i="14"/>
  <c r="C114" i="14"/>
  <c r="H117" i="14"/>
  <c r="B134" i="14" a="1"/>
  <c r="H134" i="14" s="1"/>
  <c r="G117" i="14"/>
  <c r="D117" i="14"/>
  <c r="B121" i="14"/>
  <c r="C121" i="14"/>
  <c r="C104" i="14"/>
  <c r="C103" i="14" s="1"/>
  <c r="B104" i="14"/>
  <c r="B103" i="14" s="1"/>
  <c r="B128" i="14" a="1"/>
  <c r="B125" i="14" a="1"/>
  <c r="E104" i="14"/>
  <c r="E103" i="14" s="1"/>
  <c r="B142" i="14"/>
  <c r="B137" i="14" a="1"/>
  <c r="H137" i="14" s="1"/>
  <c r="H104" i="14"/>
  <c r="H103" i="14" s="1"/>
  <c r="F104" i="14"/>
  <c r="F103" i="14" s="1"/>
  <c r="G104" i="14"/>
  <c r="G103" i="14" s="1"/>
  <c r="D104" i="14"/>
  <c r="D103" i="14" s="1"/>
  <c r="E111" i="14"/>
  <c r="H111" i="14"/>
  <c r="F111" i="14"/>
  <c r="G111" i="14"/>
  <c r="D111" i="14"/>
  <c r="B111" i="14"/>
  <c r="B114" i="14"/>
  <c r="F114" i="14"/>
  <c r="H114" i="14"/>
  <c r="E114" i="14"/>
  <c r="B131" i="14" l="1"/>
  <c r="B144" i="14" a="1"/>
  <c r="H144" i="14" s="1"/>
  <c r="H143" i="14" s="1"/>
  <c r="F131" i="14"/>
  <c r="G131" i="14"/>
  <c r="B150" i="14" a="1"/>
  <c r="E150" i="14" s="1"/>
  <c r="B147" i="14" a="1"/>
  <c r="B147" i="14" s="1"/>
  <c r="D134" i="14"/>
  <c r="C131" i="14"/>
  <c r="C161" i="14"/>
  <c r="E131" i="14"/>
  <c r="H131" i="14"/>
  <c r="F134" i="14"/>
  <c r="G134" i="14"/>
  <c r="C134" i="14"/>
  <c r="B137" i="14"/>
  <c r="D137" i="14"/>
  <c r="F137" i="14"/>
  <c r="C137" i="14"/>
  <c r="B161" i="14"/>
  <c r="B156" i="14" a="1"/>
  <c r="E156" i="14" s="1"/>
  <c r="B153" i="14" a="1"/>
  <c r="B153" i="14" s="1"/>
  <c r="B134" i="14"/>
  <c r="E134" i="14"/>
  <c r="E128" i="14"/>
  <c r="G128" i="14"/>
  <c r="F128" i="14"/>
  <c r="B128" i="14"/>
  <c r="H128" i="14"/>
  <c r="D128" i="14"/>
  <c r="C128" i="14"/>
  <c r="G125" i="14"/>
  <c r="G124" i="14" s="1"/>
  <c r="E125" i="14"/>
  <c r="E124" i="14" s="1"/>
  <c r="C125" i="14"/>
  <c r="C124" i="14" s="1"/>
  <c r="B125" i="14"/>
  <c r="B124" i="14" s="1"/>
  <c r="H125" i="14"/>
  <c r="H124" i="14" s="1"/>
  <c r="D125" i="14"/>
  <c r="D124" i="14" s="1"/>
  <c r="F125" i="14"/>
  <c r="F124" i="14" s="1"/>
  <c r="E137" i="14"/>
  <c r="G137" i="14"/>
  <c r="D144" i="14" l="1"/>
  <c r="D143" i="14" s="1"/>
  <c r="C144" i="14"/>
  <c r="C143" i="14" s="1"/>
  <c r="D147" i="14"/>
  <c r="G144" i="14"/>
  <c r="G143" i="14" s="1"/>
  <c r="B169" i="14" a="1"/>
  <c r="C169" i="14" s="1"/>
  <c r="F144" i="14"/>
  <c r="F143" i="14" s="1"/>
  <c r="E144" i="14"/>
  <c r="E143" i="14" s="1"/>
  <c r="C147" i="14"/>
  <c r="B144" i="14"/>
  <c r="B143" i="14" s="1"/>
  <c r="B163" i="14" a="1"/>
  <c r="F163" i="14" s="1"/>
  <c r="F162" i="14" s="1"/>
  <c r="C150" i="14"/>
  <c r="B175" i="14" a="1"/>
  <c r="G175" i="14" s="1"/>
  <c r="B150" i="14"/>
  <c r="G150" i="14"/>
  <c r="H150" i="14"/>
  <c r="H147" i="14"/>
  <c r="E147" i="14"/>
  <c r="G147" i="14"/>
  <c r="F147" i="14"/>
  <c r="C180" i="14"/>
  <c r="B172" i="14" a="1"/>
  <c r="E172" i="14" s="1"/>
  <c r="D150" i="14"/>
  <c r="F150" i="14"/>
  <c r="B180" i="14"/>
  <c r="C153" i="14"/>
  <c r="D153" i="14"/>
  <c r="B166" i="14" a="1"/>
  <c r="F166" i="14" s="1"/>
  <c r="G153" i="14"/>
  <c r="H153" i="14"/>
  <c r="H156" i="14"/>
  <c r="G156" i="14"/>
  <c r="B156" i="14"/>
  <c r="E153" i="14"/>
  <c r="D156" i="14"/>
  <c r="F156" i="14"/>
  <c r="F153" i="14"/>
  <c r="C156" i="14"/>
  <c r="H169" i="14" l="1"/>
  <c r="E169" i="14"/>
  <c r="D169" i="14"/>
  <c r="G169" i="14"/>
  <c r="B169" i="14"/>
  <c r="F169" i="14"/>
  <c r="H163" i="14"/>
  <c r="H162" i="14" s="1"/>
  <c r="B189" i="14" a="1"/>
  <c r="D189" i="14" s="1"/>
  <c r="H175" i="14"/>
  <c r="C175" i="14"/>
  <c r="C163" i="14"/>
  <c r="C162" i="14" s="1"/>
  <c r="B172" i="14"/>
  <c r="E163" i="14"/>
  <c r="E162" i="14" s="1"/>
  <c r="B163" i="14"/>
  <c r="B162" i="14" s="1"/>
  <c r="D175" i="14"/>
  <c r="B182" i="14" a="1"/>
  <c r="F182" i="14" s="1"/>
  <c r="F181" i="14" s="1"/>
  <c r="B195" i="14" a="1"/>
  <c r="F195" i="14" s="1"/>
  <c r="B199" i="14" a="1"/>
  <c r="B199" i="14" s="1"/>
  <c r="B175" i="14"/>
  <c r="E175" i="14"/>
  <c r="D163" i="14"/>
  <c r="D162" i="14" s="1"/>
  <c r="G163" i="14"/>
  <c r="G162" i="14" s="1"/>
  <c r="H166" i="14"/>
  <c r="B192" i="14" a="1"/>
  <c r="C192" i="14" s="1"/>
  <c r="E166" i="14"/>
  <c r="B201" i="14"/>
  <c r="G172" i="14"/>
  <c r="D172" i="14"/>
  <c r="C201" i="14"/>
  <c r="H172" i="14"/>
  <c r="F175" i="14"/>
  <c r="F172" i="14"/>
  <c r="B186" i="14" a="1"/>
  <c r="G186" i="14" s="1"/>
  <c r="D166" i="14"/>
  <c r="C172" i="14"/>
  <c r="G166" i="14"/>
  <c r="C166" i="14"/>
  <c r="B166" i="14"/>
  <c r="B189" i="14" l="1"/>
  <c r="C189" i="14"/>
  <c r="H189" i="14"/>
  <c r="E189" i="14"/>
  <c r="F189" i="14"/>
  <c r="G189" i="14"/>
  <c r="D182" i="14"/>
  <c r="D181" i="14" s="1"/>
  <c r="C182" i="14"/>
  <c r="C181" i="14" s="1"/>
  <c r="H182" i="14"/>
  <c r="H181" i="14" s="1"/>
  <c r="E182" i="14"/>
  <c r="E181" i="14" s="1"/>
  <c r="H192" i="14"/>
  <c r="G192" i="14"/>
  <c r="G195" i="14"/>
  <c r="E195" i="14"/>
  <c r="B220" i="14" a="1"/>
  <c r="B220" i="14" s="1"/>
  <c r="B206" i="14" a="1"/>
  <c r="F206" i="14" s="1"/>
  <c r="B195" i="14"/>
  <c r="G182" i="14"/>
  <c r="G181" i="14" s="1"/>
  <c r="H195" i="14"/>
  <c r="B182" i="14"/>
  <c r="B181" i="14" s="1"/>
  <c r="C222" i="14"/>
  <c r="B210" i="14" a="1"/>
  <c r="B210" i="14" s="1"/>
  <c r="C199" i="14"/>
  <c r="B213" i="14" a="1"/>
  <c r="B213" i="14" s="1"/>
  <c r="D195" i="14"/>
  <c r="C195" i="14"/>
  <c r="B222" i="14"/>
  <c r="B216" i="14" a="1"/>
  <c r="F216" i="14" s="1"/>
  <c r="B192" i="14"/>
  <c r="E192" i="14"/>
  <c r="B186" i="14"/>
  <c r="B203" i="14" a="1"/>
  <c r="B203" i="14" s="1"/>
  <c r="B202" i="14" s="1"/>
  <c r="E186" i="14"/>
  <c r="F192" i="14"/>
  <c r="D192" i="14"/>
  <c r="H186" i="14"/>
  <c r="F186" i="14"/>
  <c r="D186" i="14"/>
  <c r="C186" i="14"/>
  <c r="H206" i="14" l="1"/>
  <c r="B237" i="14" a="1"/>
  <c r="C237" i="14" s="1"/>
  <c r="C220" i="14"/>
  <c r="D206" i="14"/>
  <c r="E206" i="14"/>
  <c r="B206" i="14"/>
  <c r="G206" i="14"/>
  <c r="C206" i="14"/>
  <c r="D210" i="14"/>
  <c r="G210" i="14"/>
  <c r="H210" i="14"/>
  <c r="C210" i="14"/>
  <c r="E210" i="14"/>
  <c r="F210" i="14"/>
  <c r="B224" i="14" a="1"/>
  <c r="D224" i="14" s="1"/>
  <c r="D223" i="14" s="1"/>
  <c r="B230" i="14" a="1"/>
  <c r="B230" i="14" s="1"/>
  <c r="D203" i="14"/>
  <c r="D202" i="14" s="1"/>
  <c r="F213" i="14"/>
  <c r="B227" i="14" a="1"/>
  <c r="G227" i="14" s="1"/>
  <c r="G216" i="14"/>
  <c r="B233" i="14" a="1"/>
  <c r="F233" i="14" s="1"/>
  <c r="E203" i="14"/>
  <c r="E202" i="14" s="1"/>
  <c r="G213" i="14"/>
  <c r="D216" i="14"/>
  <c r="E213" i="14"/>
  <c r="H213" i="14"/>
  <c r="H216" i="14"/>
  <c r="H203" i="14"/>
  <c r="H202" i="14" s="1"/>
  <c r="F203" i="14"/>
  <c r="F202" i="14" s="1"/>
  <c r="C213" i="14"/>
  <c r="D213" i="14"/>
  <c r="C216" i="14"/>
  <c r="B216" i="14"/>
  <c r="C203" i="14"/>
  <c r="C202" i="14" s="1"/>
  <c r="G203" i="14"/>
  <c r="G202" i="14" s="1"/>
  <c r="E216" i="14"/>
  <c r="E237" i="14" l="1"/>
  <c r="G237" i="14"/>
  <c r="F237" i="14"/>
  <c r="B237" i="14"/>
  <c r="D237" i="14"/>
  <c r="H237" i="14"/>
  <c r="C233" i="14"/>
  <c r="C224" i="14"/>
  <c r="C223" i="14" s="1"/>
  <c r="G224" i="14"/>
  <c r="G223" i="14" s="1"/>
  <c r="H224" i="14"/>
  <c r="H223" i="14" s="1"/>
  <c r="B224" i="14"/>
  <c r="B223" i="14" s="1"/>
  <c r="H233" i="14"/>
  <c r="E224" i="14"/>
  <c r="E223" i="14" s="1"/>
  <c r="F224" i="14"/>
  <c r="F223" i="14" s="1"/>
  <c r="B233" i="14"/>
  <c r="D230" i="14"/>
  <c r="H230" i="14"/>
  <c r="E230" i="14"/>
  <c r="F230" i="14"/>
  <c r="C230" i="14"/>
  <c r="G230" i="14"/>
  <c r="C227" i="14"/>
  <c r="H227" i="14"/>
  <c r="E227" i="14"/>
  <c r="B227" i="14"/>
  <c r="F227" i="14"/>
  <c r="D227" i="14"/>
  <c r="D233" i="14"/>
  <c r="G233" i="14"/>
  <c r="E233" i="14"/>
</calcChain>
</file>

<file path=xl/sharedStrings.xml><?xml version="1.0" encoding="utf-8"?>
<sst xmlns="http://schemas.openxmlformats.org/spreadsheetml/2006/main" count="1374" uniqueCount="338">
  <si>
    <t>Notes:</t>
  </si>
  <si>
    <t>MONDAY</t>
  </si>
  <si>
    <t>January</t>
  </si>
  <si>
    <t>LEGEND</t>
  </si>
  <si>
    <t>WEEKLY</t>
  </si>
  <si>
    <t xml:space="preserve">MONTHLY </t>
  </si>
  <si>
    <t xml:space="preserve">QUARTERLY </t>
  </si>
  <si>
    <t xml:space="preserve">BI-ANNUAL </t>
  </si>
  <si>
    <t xml:space="preserve">ANNUAL </t>
  </si>
  <si>
    <t xml:space="preserve">PM 013 - Weekly Inspection of Weather Stations </t>
  </si>
  <si>
    <t>PM-005 - Weekly SCADA Trackers monitoring.</t>
  </si>
  <si>
    <t>PM 006 - Monthly Inspection of Inverters</t>
  </si>
  <si>
    <t>PM 004 - Monthly Inspection of CC Cabinet. Done</t>
  </si>
  <si>
    <t>PM 014 - Monthly Inspection of Energy Meter</t>
  </si>
  <si>
    <t>PM-009 Artifitial Ventilation</t>
  </si>
  <si>
    <t>PM-003 Annual Maintenance of Combiner box</t>
  </si>
  <si>
    <t>PM-003 Quaterly Visual inspection for Combiner box structure.</t>
  </si>
  <si>
    <t>PM-025 Monthly Inspection of O&amp;M building and Internal roads.</t>
  </si>
  <si>
    <t>PM-020 Monthly Inspection of Substation.</t>
  </si>
  <si>
    <t>PM-016 Monthly Inspection of Generator Auxliliary.</t>
  </si>
  <si>
    <t>PM-003 SCADA strings control.</t>
  </si>
  <si>
    <t>013 - Calibration and Check of MDAS</t>
  </si>
  <si>
    <t>PM 005 - Quaterly Visual Inspection of Trackers.</t>
  </si>
  <si>
    <t xml:space="preserve">PM 013 - Quaterly Inspection of Weather Stations </t>
  </si>
  <si>
    <t>PM-008 Quaterly Inspection of 22kV Power Transformer Dry,</t>
  </si>
  <si>
    <t>PM-009 Quaterly Artifitial Ventilation</t>
  </si>
  <si>
    <t>PM 012 - Quaterly Inspection of SCADA System done</t>
  </si>
  <si>
    <t>PM 015 - Quaterly Inspection to Security and fire alarm systems.</t>
  </si>
  <si>
    <t>PM 011 - Quaterly Inspection of Communication System</t>
  </si>
  <si>
    <t>PM-016 Quaterly Inspection of Generator Auxliliary.</t>
  </si>
  <si>
    <t>PM-025 Quaterly Inspection of O&amp;M building and Internal roads.</t>
  </si>
  <si>
    <t>PM 006 - Quaterly Inspection of Inverters</t>
  </si>
  <si>
    <t>PM 004 - Quaterly Inspection of CC Cabinet. Done</t>
  </si>
  <si>
    <t>PM 014 - Quaterly Inspection of Energy Meter</t>
  </si>
  <si>
    <t>PM-016 Anual Maintenance of Generator.</t>
  </si>
  <si>
    <t>WITKOP PREVENTATIVE MAINTENANCE PLAN 2023</t>
  </si>
  <si>
    <t>Task No.</t>
  </si>
  <si>
    <t>System</t>
  </si>
  <si>
    <t>Equipment</t>
  </si>
  <si>
    <t>Procedure Code</t>
  </si>
  <si>
    <t>Title of Procedure</t>
  </si>
  <si>
    <t>Task Description</t>
  </si>
  <si>
    <t>No. of  Equipment</t>
  </si>
  <si>
    <t>Unit of measure</t>
  </si>
  <si>
    <t>Frequency</t>
  </si>
  <si>
    <t>Total Annual WL</t>
  </si>
  <si>
    <t>WL Jan 23</t>
  </si>
  <si>
    <t>WL Feb 23</t>
  </si>
  <si>
    <t>WL Mar 23</t>
  </si>
  <si>
    <t>WL Apr 23</t>
  </si>
  <si>
    <t>WL May 23</t>
  </si>
  <si>
    <t>WL Jun 23</t>
  </si>
  <si>
    <t>WL Jul 23</t>
  </si>
  <si>
    <t>WL Aug 23</t>
  </si>
  <si>
    <t>WL Sep 23</t>
  </si>
  <si>
    <t>WL Oct 23</t>
  </si>
  <si>
    <t>WL Nov 23</t>
  </si>
  <si>
    <t>WL Dec 23</t>
  </si>
  <si>
    <t>Astronergy CHSM6612P / SOLAR PV MODULES</t>
  </si>
  <si>
    <t>PV Array</t>
  </si>
  <si>
    <t>Solar PV Modules</t>
  </si>
  <si>
    <t>PM-001</t>
  </si>
  <si>
    <t>Biannualy Inspection to PV Modules.</t>
  </si>
  <si>
    <t>01. Revision Browning and Yellowing effect      02. Revision of possible damage on the surface of the panels.
03. Revision of Shadows on the panels and remove if necessary.                                                    04. Visual revision of junction boxes.
05. Visual check of connectors and cables.
07. Visual check of stability, rigidity and fixing of the panels.</t>
  </si>
  <si>
    <t>Trackers</t>
  </si>
  <si>
    <t>Annualy Inspection to PV Modules.</t>
  </si>
  <si>
    <t>09. Thermography
10. Open circuit voltage measurement at string level.
11. Check the back sheets of panels for damage, mould, algae and delamination.
12. Visual check for inflammation, bubbling and/or non-uniformity of relief of the back sheet tedlar.</t>
  </si>
  <si>
    <t>Annualy IV Curve test.</t>
  </si>
  <si>
    <t>13. IV Curve measurements of a sample of strings (25% where each string should be measured in a different row).</t>
  </si>
  <si>
    <t>Combiner Box</t>
  </si>
  <si>
    <t>Annually Test in Laboratory.</t>
  </si>
  <si>
    <t xml:space="preserve">08. Laboratory flash test. </t>
  </si>
  <si>
    <t>PV Module</t>
  </si>
  <si>
    <t>Panel Cleaning to PV Modules.</t>
  </si>
  <si>
    <t xml:space="preserve">06. Panel cleaning. </t>
  </si>
  <si>
    <t>s</t>
  </si>
  <si>
    <t>Astronergy CHSM6612P / LOW VOLTAGE POWER LINES (DC and Grounding Network)</t>
  </si>
  <si>
    <t>1 PV Array</t>
  </si>
  <si>
    <t>PM-002</t>
  </si>
  <si>
    <t>Biannually Visual inspection of string connections.</t>
  </si>
  <si>
    <t>03. Visual check of the MULTI-CONTACTs are in good condition.</t>
  </si>
  <si>
    <t>Annualy maintenance to cable strings.</t>
  </si>
  <si>
    <t>01. Check the condition pipelines and grounding of metal parts (trays).
02. Check the cabling supporting holders are in good condition.
04. Visual inspection of insulation, covering and splices.
05. Inspection of the critical points that appear in the electrical switchboards.
06. Inspection of the splices in the boxes where insulation faults usually occur.
07. Maintenance of the communication wiring.
08. Measurement of grounding resistance.</t>
  </si>
  <si>
    <t>Astronergy CHSM6612P / LOW VOLTAGE CHANNELING</t>
  </si>
  <si>
    <t>Low Voltage Channeling</t>
  </si>
  <si>
    <t>PM-002.1</t>
  </si>
  <si>
    <t>Biannualy Channeling inspection.</t>
  </si>
  <si>
    <t>01. Metal tray: treating parts affected by corrosion and correct earth connection
02. PVC tray: treating sections that may be in bad state.
03. Tray channelling: inspection to avoid rodents.                                                                             03A. Check string cable guide wire is rigid and free of breakages and corrosion.</t>
  </si>
  <si>
    <t>Annualy Channeling inspection.</t>
  </si>
  <si>
    <t>04. Buried channelling: verify sealing of tubes.</t>
  </si>
  <si>
    <t>Kuadrotek / SECONDARY ELECTRICAL PANELS (Lever 1 Stream) String combiner box.</t>
  </si>
  <si>
    <t>String combiner box</t>
  </si>
  <si>
    <t>PM-003</t>
  </si>
  <si>
    <t>SCADA strings control.</t>
  </si>
  <si>
    <t>20. Weekly Check for open strings (SCADA)</t>
  </si>
  <si>
    <t>Tracker</t>
  </si>
  <si>
    <t>Quaterly Visual inspection for Combiner box structure.</t>
  </si>
  <si>
    <t>01. Checking for proper fastening, impacts, breaks or deformations of the Level 1 box.
05. Visual inspection of terminals, panels and conductors.                                                                      06. Visual inspection of pilots signals of fuses.
07. Grounding condition checking.</t>
  </si>
  <si>
    <t>Biannually Inspection for Combiner box.</t>
  </si>
  <si>
    <t>03. Check for proper sealing absence of humidity inside the box
04. Visual inspection of the enclosure associated components such as cable protectors, tightening screws,  connectors, anchors.
08. Visual check for loose connections.
09. Location of switches and circuit breakers with deficiencies.
10. Check the condition of the surge arresters.
12. Visual check for possible overheating.
18. Circuit-breaker trip check.
19. Check the condition of the thermal magnet circuit-breakers.
21. Thermo graphical analysis of the electrical control panels
22. Electrical control panel voltages check.</t>
  </si>
  <si>
    <t>Annual Maintenance of Combiner box</t>
  </si>
  <si>
    <t>02. Electrical panels general clearing.
11. Insulation measurement of bus bars with respect to grounding.
13. Check the door and lock.
14. Check the plays and identify elements in the control panel and the electrical hazard identification plates.
15. Apply the contact cleaner to all the contacts in the switchboard.
16. Retightening of the screws.
17. Retightening of the switchboard's ring terminals.</t>
  </si>
  <si>
    <t>SunEdison AP90 / Tracker AP90</t>
  </si>
  <si>
    <t>Trackers AP90</t>
  </si>
  <si>
    <t>PM-005</t>
  </si>
  <si>
    <t>Weekly SCADA Trackers monitoring.</t>
  </si>
  <si>
    <t xml:space="preserve">07. Monitor fault conditions. (SCADA).                                                   07A. Check operating angels.  (SCADA).  </t>
  </si>
  <si>
    <t>Quaterly Visual Inspection of Trackers.</t>
  </si>
  <si>
    <t xml:space="preserve">05. Structure torqued connections check.
06. Visually inspect system components for normal operation and alignment.
08. Tracker controller Inspection.
09. Inclinometer Inspection.
10. Anemometer Inspection.
11. Limit Switches Inspection,
12. Screw Jack Inspection and lubrication,
13. Steel Structure.                                                                                          </t>
  </si>
  <si>
    <t>Annual Maintenance of Trackers.</t>
  </si>
  <si>
    <t>01. Inspect module array for proper alignment and check a sample of module rail fasteners for proper connection.
02. Test wind slow function by triggering wind sensor. Repeat for snow and flood sensors if installed.
03. Inspect bearing housing assemblies for misalignment due to settling of piers and adjust position if necessary.
04. Inspect all electrical enclosures for cracking, pests and any other damage.</t>
  </si>
  <si>
    <t>ABB PVS800-57-0630kW / SOLAR PHOTOVOLTAIC - INVERTER</t>
  </si>
  <si>
    <t>CT Builing</t>
  </si>
  <si>
    <t>Inverters PVS800-57-0630kW</t>
  </si>
  <si>
    <t>PM-006</t>
  </si>
  <si>
    <t>Monthly Inspection of Inverters</t>
  </si>
  <si>
    <t>01. General inspection of the equipment.
02. Check the condition of cables and terminals.                                
05. Check the proper condition and operation of the lighting of the building replacing lamps or tubes if necessary.
11. Verify the absence of alarms in the control equipment.</t>
  </si>
  <si>
    <t>Inverters</t>
  </si>
  <si>
    <t>Quaterly Inspection of Inverters.</t>
  </si>
  <si>
    <t>03. Check the proper tightening of screws works and cables.                                                                       04. Visual check of connections.
08. Check the correct ventilation of the equipment.
09. Check the proper state of front air grate and rearwards filters.
13. Change batteries, when it's necessary.                                            14. Checking the grounding of the inverter.                                         15. Cleaning of inverter room.</t>
  </si>
  <si>
    <t>Annual Maintenance of Inverters.</t>
  </si>
  <si>
    <t>06. Check the lack of humidity inside the cabinet.
07. Check the proper anchoring of equipment (upper and lower).
10. Check the environment condition.
12. Thermography: correct the detected hot spots.</t>
  </si>
  <si>
    <t>Kuadrotek / SECONDARY ELECTRICAL PANELS (Lever 2 Stream) CC Cabinet.</t>
  </si>
  <si>
    <t>CC Cabinet</t>
  </si>
  <si>
    <t>PM-004</t>
  </si>
  <si>
    <t>Monthly Inspection of CC Cabinet.</t>
  </si>
  <si>
    <t>20. Check the control panel lights and indicators.
23. Check the thermal magnetic device (negative, grounding isolation, monitoring and controller of inverter shutdown).                           06. Visual inspection of pilots signals of fuses.</t>
  </si>
  <si>
    <t>Quaterly Inspection of CC Cabinet.</t>
  </si>
  <si>
    <t>01. Checking for proper fastening, impacts, breaks or deformations of the Level 2 box.
05. Visual inspection of terminals, panels and conductors.
07. Grounding condition checking..</t>
  </si>
  <si>
    <t>Biannually Inspection of CC Cabinet.</t>
  </si>
  <si>
    <t>03. Checking for proper sealing, absence of humidity.
04. Visual inspection of the enclosure associated components such as cable protectors, tightening screws, connectors, anchors.
08. Visually check for possible loose connections.
09. Location of switches or circuit-breakers with possible deficiencies.
10. Checking the correct state of voltage dischargers.
12. Checking for possible excessive overheating of the busbar and the wiring.
18. Circuit-breaker trip check.
19. Inspection of the condition of the thermal magnetic circuit-breakers.
21. Thermo graphic analysis of the switchboard and correction of hot spots.
22. Checking the voltages of the switchboard.
24. Energy Meter Verification/Calibration.</t>
  </si>
  <si>
    <t>Annual Maintenance of CC Cabinet.</t>
  </si>
  <si>
    <t>02. Electrical panels general cleaning.
11. Insulation measurement of bus bars with respect to grounding.
13. Check the door and lock.
14. Check the good condition of the plates and identifying elements in the control panel and electrical hazard. identification plates are in good condition
15. Applying contact grease to all the contacts in the switchboard.
16. Re-tighten the panel protection device screws for the switchboard.
17. Re-tighten the panel ring terminals.</t>
  </si>
  <si>
    <t>PS / POWER TRANSFORMER (Dry)</t>
  </si>
  <si>
    <t>22kV Power Transformer Dry.</t>
  </si>
  <si>
    <t>PM-008</t>
  </si>
  <si>
    <t>Weekly Inspection of 22kV Power Transformer Dry,</t>
  </si>
  <si>
    <t xml:space="preserve">01A.Check Temperature                                                                                 02A.Check Fans.                                                                                                  03A. Check status of SF6 gas on RMU. </t>
  </si>
  <si>
    <t>Transformer</t>
  </si>
  <si>
    <t>Quaterly Inspection of 22kV Power Transformer Dry.</t>
  </si>
  <si>
    <t>01. Check status of optical and acoustic indicators.
02. Check operation load level of measurement equipment.
03. Check ventilation operation.
04. Check winding temperature indicator (if available).
05. Check dielectric stiffness of power transformer.                                                                     06. Cleaning of room air filters. Replace if necessary.</t>
  </si>
  <si>
    <t>Annual Maintenance of 22kV Power Transformer Dry,</t>
  </si>
  <si>
    <t>07. Check status of current equipment for motor control
08. General review of operation of switchgear.
09. Openining and closing circuit breaker.
10. Opening and closing of switches manoeuvre.
11. Lubrication of the drive if necessary.
12. Inspection of terminal bottles.
13- Check the ground connections of the electrodes.
14. Wetting of ground wells.
15. Terminal and lid cleaning of power transformer.
16. Check Status of power transformer protection.
17. Check sealing of all joints of the power transformer.
18. Check the heating elements functioning of the power transformer.
19. Check air dryer (Replacement of silica gel when its colour is pink) of the power transformer.
20. Verification of electrical circuit breakers (SF6).
21. Verification of the mechanical circuit breakers status and operating of the circuit breaker interlocks.
22. Status and operating of the circuit breaker interlocks
23. Lubrication of circuit breakers.
24. Visual inspection of instrument transformer.
25. Press contact and review of instrument transformer connections.
26. Check condition of insulators and bus bars.
27. Check Status of insulators connections and bus bars.
28. Resistance measurement of ground network of neutral and hardware.
29. Protection relays checking.
30. Check alarm and trip signals of temperature.
31. Auxiliary relays checking.
32. Alarm system checking.
33. General cleaning.</t>
  </si>
  <si>
    <t>PS / ARTIFICIAL VENTILATION</t>
  </si>
  <si>
    <t>Artifitial Ventilation</t>
  </si>
  <si>
    <t>PM-009</t>
  </si>
  <si>
    <t>Weekly Inspection of Artifitial Ventilation.</t>
  </si>
  <si>
    <t>01. General state supervision.
02. Absence of unwanted noise checking.</t>
  </si>
  <si>
    <t>Ventilation</t>
  </si>
  <si>
    <t>Quaterly Inspection of Artifitial Ventilation.</t>
  </si>
  <si>
    <t>03. Exterior cleaning of equipment and components
04. Current measurement in phases.                                                     05. Thermostat control checking and adjusting.
06. Check status of anchoring and vibration.                                                                          07. Check the room air filters and replace if is necessary.</t>
  </si>
  <si>
    <t>PS / MEDIUM VOLTAGE POWER LINES (AC and Grounding Network)</t>
  </si>
  <si>
    <t>MV Power line and grounding network.</t>
  </si>
  <si>
    <t>PM-010</t>
  </si>
  <si>
    <t>Annual Inspection of MV Power lind and Grounding network.</t>
  </si>
  <si>
    <t>01. Check the condition pipelines and grounding of metal parts (trays).
02. Check the holder condition.
03. Check absence of heating's or vibrations
04. General check of grounding lines.
05. Check the contact and pass heating.
06. Measurement of grounding resistance.</t>
  </si>
  <si>
    <t>CT Building</t>
  </si>
  <si>
    <t>CONTROL AND SYSTEMS / COMMUNICATIONS</t>
  </si>
  <si>
    <t>SCADA</t>
  </si>
  <si>
    <t>Communication systems</t>
  </si>
  <si>
    <t>PM-011</t>
  </si>
  <si>
    <t>Monthly Inspection Communication System</t>
  </si>
  <si>
    <t xml:space="preserve">01. General functioning status checking.   </t>
  </si>
  <si>
    <t>COMMS</t>
  </si>
  <si>
    <t>Quaterly Inspection of Communication System</t>
  </si>
  <si>
    <t>02. Checking of external connections.
03. Exterior cleaning</t>
  </si>
  <si>
    <t>CONTROL AND SYSTEMS / SCADA CONTROL</t>
  </si>
  <si>
    <t>SCADA monitoring</t>
  </si>
  <si>
    <t>PM-012</t>
  </si>
  <si>
    <t>Daily monitoring of SCADA</t>
  </si>
  <si>
    <t>Quaterly Inspection of SCADA System</t>
  </si>
  <si>
    <t>02. External connection checking and retightening
03. Exterior cleaning</t>
  </si>
  <si>
    <t>Back up of SCADA</t>
  </si>
  <si>
    <t>04. Backups (software and data)</t>
  </si>
  <si>
    <t>GEONICA 3000C / CR1000 WEATHER STATION</t>
  </si>
  <si>
    <t>MDAS</t>
  </si>
  <si>
    <t>MET Station</t>
  </si>
  <si>
    <t>PM-013</t>
  </si>
  <si>
    <t>Weekly Inspection of MDAS</t>
  </si>
  <si>
    <t xml:space="preserve"> 01. General cleaning and inspection of all elements and meteorological sensors.                                                                       02. Check of dirt condition of the panels.                                             12. Cleaning irradiance cells and/or pyranometes with damp cloth and deionised water and keep log book.         </t>
  </si>
  <si>
    <t>Biannual Inspection of MDAS</t>
  </si>
  <si>
    <t>03. Weather temperature measurement and comparison with weather station.
04. Inspection of element anchoring and bolt fastenings.
05. Inspection of verticality and anchoring of mast.</t>
  </si>
  <si>
    <t>Annual Maintenance  of MDAS</t>
  </si>
  <si>
    <t>06. Maintenance of earth systems.
07. Maintenance of electrical installation.
08. Review lightning conductor installation.
10. Check the condition of the supports for the sensors.</t>
  </si>
  <si>
    <t>Calibration and Check of MDAS</t>
  </si>
  <si>
    <t>09. Review and replace desiccant according to manufacturer instructions.
11. Calibration of pyranometer/reference cell (according to manufacturer instructions) at an official institute.</t>
  </si>
  <si>
    <t>PS-LV_AUX_FV  / SECONDARY ELECTRICAL PANELS (Consumption) Energy Meter cabinet.</t>
  </si>
  <si>
    <t>Energy Meter Cabinet</t>
  </si>
  <si>
    <t>PM-014</t>
  </si>
  <si>
    <t>Monthly Inspection of Energy Meter</t>
  </si>
  <si>
    <t xml:space="preserve">06. Visual inspection of pilots signals of fuses.
20. Checking the panel lights and indicators.        </t>
  </si>
  <si>
    <t>Quaterly Inspection of Energy Meter</t>
  </si>
  <si>
    <t>01. Checking for proper fastening, possible impacts, breaks or deformations.
05. Visual inspection of terminals, panels and conductors.
07. Grounding condition checking.</t>
  </si>
  <si>
    <t>Biannual Inspection of Energy Meter</t>
  </si>
  <si>
    <t>03. Checking for proper sealing, absence of humidity.
04. Visual inspection of the enclosure.
08. Visually check for possible loose connections.
09. Location of switches or circuit-breakers with possible deficiencies.
10. Checking the correct state of voltage dischargers.
12. Checking for possible excessive overheating.
18. Circuit-breaker trip check.
19. Inspection of the condition of the thermal magnetic circuit-breakers.
21. Thermographic analysis of the switchboard.
22. Checking the voltages of the switchboard.
23. Energy Meters Calibration.</t>
  </si>
  <si>
    <t>Annual Maintenance of Energy Meter.</t>
  </si>
  <si>
    <t>02. Electrical panels general clearing
11. Insulation measurement of bus bars with respect to grounding.
13. Check the door and lock.
14. Check the good condition of the plates and identifying elements in the control panel.
15. Applying contact cleaner.
16. Re-tighten the panel protection device screws.
17. Re-tighten the panel ring terminals.</t>
  </si>
  <si>
    <t>SECURITY SYSTEM / MANUAL FIRE ALARM SYSTEM</t>
  </si>
  <si>
    <t>General</t>
  </si>
  <si>
    <t>Security System &amp; Fire Alarm</t>
  </si>
  <si>
    <t>PM-015</t>
  </si>
  <si>
    <t>Quaterly Inspection to Security and fire alarm systems.</t>
  </si>
  <si>
    <t>01. Condition checking of emergency battery.
02. Performance checking of alarm devices.
08. Check location, accessibility and visibility of fire extinguishers.</t>
  </si>
  <si>
    <t>Test Check for Security and Fire alarm systems.</t>
  </si>
  <si>
    <t>03. Inspection of operation of installations (with each power source). Each 4 months.</t>
  </si>
  <si>
    <t>Safety System &amp; Fire Alarm</t>
  </si>
  <si>
    <t>Annual Maintenance of Security and fire alarm systems.</t>
  </si>
  <si>
    <t>04. Checking of the overall performance of the installation
05. Cleaning of the components
06. Manual extinguishers revision:
 - Check the place they are located, accessibility and visibility
 - Check the correct status of the seals and that they have not been used
 - External aspect: Absence of corrosion and impacts)
 - Check the proper pressure indication on the manometer
07. Final test setup (with each power source).</t>
  </si>
  <si>
    <t>GENERATOR / POWER GENERATOR</t>
  </si>
  <si>
    <t>Power Generator</t>
  </si>
  <si>
    <t>PM-016</t>
  </si>
  <si>
    <t>Monthly Inspection of Generator Auxliliary.</t>
  </si>
  <si>
    <t>01. General status checking.</t>
  </si>
  <si>
    <t>Generator</t>
  </si>
  <si>
    <t>Bi-Monthly check of Generator (Fornightly).</t>
  </si>
  <si>
    <t>02. Start-up batteries connection checking.
03. Grease pump operation checking.
04. Checking of oil, air and fuel levels.
05. Network failure simulation.
06. Checking of automatic start-up of power generator.
07. Checking of automatic performance of network switches and power generator.
08. Checking of power generator's automatic stop.</t>
  </si>
  <si>
    <t>Biannually Inspection of Generator.</t>
  </si>
  <si>
    <t xml:space="preserve">09. Exterior cleaning
10. Brushes and collectors cleaning and condition checking 
11. Engine protection alarms checking
12.Unwanted noise and vibration checking
</t>
  </si>
  <si>
    <t>Anual Maintenance of Generator.</t>
  </si>
  <si>
    <t>13. Replacement of alternator engine oil (three years).
14. Replacement oil, air and fuel filters (500 hours or 30 months).
15. Replacement of start-up batteries (3 years).</t>
  </si>
  <si>
    <t>Security System / CCTV.</t>
  </si>
  <si>
    <t>Security System CCTV</t>
  </si>
  <si>
    <t>PM-017</t>
  </si>
  <si>
    <t>Biannually Maintenance of CCTV System.</t>
  </si>
  <si>
    <t>01. Checking of all local functions of the Commander, (UP, DOWN, ZOOM, FOCUS), as well as the bumpers of petitioners
02. Check the definition and signal levels from the camera
03. Checking of all feeding stabilised power sources (Amplification systems, camera tensions, systems)
04. Observation of status indicators for the electronic centre
05. General testing of electronic centre system, adjusting timers.
06. Checking of voltage at terminals connected to the detectors of the electronic centre.
07. Checking of performance indicators and testing of expansion PV modules
08. Checking the state and correct functioning of the microwave/infrared barriers                                                                                    09. Checking the voltage and level of charge of the central control unit batteries.</t>
  </si>
  <si>
    <t>Cameras</t>
  </si>
  <si>
    <t>Annually Inspection of CCTV System.</t>
  </si>
  <si>
    <t xml:space="preserve">10. Checking the value of the supply voltage for all the equipment and elements that make up the security installation.
11. Checking the condition of the supports, towers or columns.
</t>
  </si>
  <si>
    <t>FENCES / HARDWARE (Perimeter Fence and Accesses)</t>
  </si>
  <si>
    <t>Perimeter Fence</t>
  </si>
  <si>
    <t>PM-018</t>
  </si>
  <si>
    <t>Inspection of the Perimeter Fence. - Each 4 months.</t>
  </si>
  <si>
    <t>08. Maintenance of good condition of water drainage system, cleaning and civil maintenance works.
09. Inspect all manholes to ensure that they are intact and that excessive sand or water is not entering them.</t>
  </si>
  <si>
    <t>Biannual Maintenance of Perimeter Fence.</t>
  </si>
  <si>
    <t>01. Status checking of perimeter fence.
02. Status checking of access gates.
03. Functioning status of latches and hinges
04. Lubrication of gates.
05. Checking of fence corrosion status, proceeding to paint if necessary.
06. Status checking of vegetation, removing if necessary.
07. Apply herbicides in areas of fencing.
10. Maintenance of good condition in internal and access roads.</t>
  </si>
  <si>
    <t>CIVIL WORKS / CLEARING AND PEST CONTROL</t>
  </si>
  <si>
    <t>All Site</t>
  </si>
  <si>
    <t>PM-019</t>
  </si>
  <si>
    <t>Monthly Visual Inspection Clearing and Pest Control.</t>
  </si>
  <si>
    <t>01. General status checking.
05. Visual inspection of inverters buildings for signs of rodents.</t>
  </si>
  <si>
    <t>Pest Control Application.</t>
  </si>
  <si>
    <t>04. Treatment of pest control. Each 4 months.</t>
  </si>
  <si>
    <t>Biannually Chemical Control</t>
  </si>
  <si>
    <t>02. Chemical weed control / Physical removal as appropriate / grass-cutting.
03. Clearing of small plants that have withstood the chemical treatment.</t>
  </si>
  <si>
    <t>SUBSTATION / SUBSTATION - CONTROL BUILDING</t>
  </si>
  <si>
    <t>Substation</t>
  </si>
  <si>
    <t>PM-020</t>
  </si>
  <si>
    <t>Monthly Inspection of Substation.</t>
  </si>
  <si>
    <t xml:space="preserve">01.Check Feeder one B/B 132kv Isolator if the links are Closed and locked in all phases                                                       02.Check Feeder One 132kv CT's if Rph,Wph,Bph oil level is correct                                                                                              03.Check TRFR One 132Kv  Breaker  is Closed,SF6-Gas Normal and the Counter                                                                      04.Check TRFR One 132Kv CT's  if Rph,Wph,Bph oil level is correct                                                                                                                                                                        05.TRFR One 132Kv Isolator   if the links are Closed and locked in all phases,Earth link open B/B side, Earth link open TRFR side                                                                                       06.TRFR One 132Kv VT's  if Rph,Wph,Bph oil level is correct and all  CB's Switched on.                                                                          07.Transfomer 1  &amp; 2                                                                                            -Check if main oil level is correct                                                            -Check if bucholtz Not Operated                                                             -Check if the explosion device not operated                                                            -Check if HV surge Arrestors are in order                                           -Check if MV Surge Arrestor are in order                                                            -Check oil temperature                                                                                -Check  winding Temperature                                                                                                                              -Check Ambient Temperature                                                                  -Check if kiosk is on                                                                                                  -Check if Heater is on                                                                                  -Check if silica Gel not coloured                                                             -Check if oil level is Correct                                                                      -Check if main oil level is correct                                                            -Check tap changer                                                                                       -Check if the heater is on                                                                           -Check if the light is on                                                                                   -Check tap changer                                                                                       -Check silica Gel not Coloured                                                                -Check earth counter                                                                                   08. Transformer 1&amp;2 NEC/NER                                                               -Check if main oil level is correct                                                            -Check if bucholtz Not Operated                                                             -Check if the explosion device not operated                                                                                                      -Check oil temperature                                                                                -Check  winding Temperature                                                                   -Check silica Gel not Coloured                                                                -Check 22kv Cable in Good condition         </t>
  </si>
  <si>
    <t>Trasnformer</t>
  </si>
  <si>
    <t>Mantenimiento del Sistema de Iluminacion</t>
  </si>
  <si>
    <t>Mantenimiento del Sistema de Iluminacion cambiando luces en mal estado.</t>
  </si>
  <si>
    <t>Unidad</t>
  </si>
  <si>
    <t>Major Maintenance of Substation.</t>
  </si>
  <si>
    <t>01. Cleaning of control panel.
02. Review of operation of signal lamps on the control panel.
03. Function Testing relay of control panel.
04. Test cuts from the relay control panel.
05. Checking of the operation of electromechanical relays on the control panel
06. Review and tighten of terminals at the control panel
07. Manoeuvres making with control panel remote controls
08. Review of operation of automatic and differential Auxiliary Service
09. Review of operation of the remote control and lamp signalling on control panel and auxiliary services
10. Review and tighten the terminals of the Auxiliary Service
11. Review DC battery
12. Check of the high-voltage safety
13. Fire protection material testing
14. Regular lighting testing
15. Emergency lighting testing</t>
  </si>
  <si>
    <t>SUBSTATION / SUBSTATION - SUBSTATION CELLS</t>
  </si>
  <si>
    <t>Substation Cells</t>
  </si>
  <si>
    <t>PM-021</t>
  </si>
  <si>
    <t>Biannually Inspection of Substation Cells.</t>
  </si>
  <si>
    <t>01. Envelope status check
02. Inspection and if necessary retightening of bolts
03. Checking the state of bus bars
04. Interior Cleaning of the cell, bus bars and insulators
05. Cable and terminal bottles checking
06. Check operation of heating element
07. Checking of fuses, auxiliary relays and signal lamp
08. Checking the status of mechanical interlocks
09. Review of mechanical interlocking of cells
10. Joint manoeuvring of the interlocking
11. Checking of manoeuvre signalling on control panel
12. Checking of power cut mechanism
13. General cleaning and lubrication of moving parts</t>
  </si>
  <si>
    <t>SUBSTATION / SUBSTATION - AUXILIARY SERVICE POWER TRANSFORMER</t>
  </si>
  <si>
    <t>AASS Power Transformer</t>
  </si>
  <si>
    <t>PM-023</t>
  </si>
  <si>
    <t>Annual Maintenance of Auxiliary Power Transformers.</t>
  </si>
  <si>
    <t>01. Check general condition.
02. Inspection and if necessary retightening of bolts.
03. Check operation of temperature sensors.
04. Current measurements in high and low voltage.
05. Checking the state of the cables and terminal bottles..
06. Ground resistance measurement.
07. Inspection and tightening if necessary of terminal.
08. Measurement of dielectric strength of oil (every 5 years).
09. General Cleaning (see 10.1.1 and (see 10.1.2)).
10. Control encapsulated insulation (see 10.1.7).
11. Control the value of compression of supports (see 10.1.8).
12. Humidity, thermo resistance and functionality control (see 10.1.4, 10.1.5, 10.1.6).
13. General cleaning and lubrication of moving parts.</t>
  </si>
  <si>
    <t>SUBSTATION / SUBSTATION - MV/HV POWER TRANSFORMER</t>
  </si>
  <si>
    <t>MV-HV Power Transformer</t>
  </si>
  <si>
    <t>PM-024</t>
  </si>
  <si>
    <t>Major Maintenance of MV-HV Transformers.</t>
  </si>
  <si>
    <t>01. Check general condition.
02. Inspection and if necessary retightening of bolts.
03. Check operation of temperature sensors.
04. Current measurements in high and low voltage.
05. Checking the state of the cables and terminal bottles.
06. Ground resistance measurement.
07. Inspection and tightening if necessary of terminals.
08. Measurement of dielectric strength of oil (every 5 years).
09. General Cleaning.
10. Control encapsulated insulation.
11. Control the value of compression of supports.
12. Humidity, thermoresistence and functionality control.</t>
  </si>
  <si>
    <t>O&amp;M Building and Facilities</t>
  </si>
  <si>
    <t>O&amp;M Facilities</t>
  </si>
  <si>
    <t>Buildings and Internal roads</t>
  </si>
  <si>
    <t>PM-025</t>
  </si>
  <si>
    <t>Monthly Inspection of O&amp;M building and Internal roads.</t>
  </si>
  <si>
    <t>01. Check general condition of O&amp;M buildings 02. Inspection and if necessary repair any defects                                                                               03. Check condition of internal roads                   04. Inspect storage areas</t>
  </si>
  <si>
    <t>Facilities</t>
  </si>
  <si>
    <t>HOLIDAY</t>
  </si>
  <si>
    <t>PM-018 Biannual Inspection of the Perimeter Fence</t>
  </si>
  <si>
    <t>PM-003 Biannually Inspection for Combiner box.</t>
  </si>
  <si>
    <t>PM-017 Annually Inspection of CCTV System.</t>
  </si>
  <si>
    <t>PM-001 Biannualy inspectiom to PV Modules</t>
  </si>
  <si>
    <t>PM-002.1 Biannualy Channeling inspection.</t>
  </si>
  <si>
    <t>PM 005 - Annual Maintenance of Trackers.</t>
  </si>
  <si>
    <t>PM-002 Annualy maintenance to cable strings.</t>
  </si>
  <si>
    <t>Panel Cleaning to PV Modules</t>
  </si>
  <si>
    <t>PM-002.1 Biannualy Channeling inspection</t>
  </si>
  <si>
    <t>PM-009 Quaterly Inspection of Artifitial Ventilation</t>
  </si>
  <si>
    <t>PM 014 - Biannual Inspection of Energy Meter</t>
  </si>
  <si>
    <t>001 Biannualy inspectiom to PV Modules</t>
  </si>
  <si>
    <t>PM 011 - Monthly Inspection Communication System</t>
  </si>
  <si>
    <t>Complete Outstanding PM's and reports</t>
  </si>
  <si>
    <t>PM-009 Quaterly inspection of Artifitial Ventilation</t>
  </si>
  <si>
    <t>PM-018 Inspection of the Perimeter Fence. - Each 4 months.</t>
  </si>
  <si>
    <t>PM 015 - Annual Maintenance of Security and fire alarm systems.</t>
  </si>
  <si>
    <t>PM 008 - Annual Maintenance of 22kV Power Transformer Dry</t>
  </si>
  <si>
    <t>PM 013 - Annual Maintenance  of MDAS</t>
  </si>
  <si>
    <t>M 014 - Annual Maintenance of Energy Meter.</t>
  </si>
  <si>
    <t>PM 010 - Annual Inspection of MV Power line and Grounding network.</t>
  </si>
  <si>
    <t>PM-020 Major Maintenance of Substation.</t>
  </si>
  <si>
    <t>PM-001 Panel Cleaning to PV Modules.</t>
  </si>
  <si>
    <t>PM-002 Biannually Visual inspection of string connections.</t>
  </si>
  <si>
    <t>PM-001 Annualy Inspection to PV Modules.</t>
  </si>
  <si>
    <t>PM 004 - Annual Inspection of CC Cabinet. Done</t>
  </si>
  <si>
    <t>PM 006 - Annual Maintenance of Inverters.</t>
  </si>
  <si>
    <t>PM-001 Annualy IV Curve test</t>
  </si>
  <si>
    <t>PM-001Annually Test in Laboratory.</t>
  </si>
  <si>
    <t>MP-017 Biannually Maintenance of CCTV System.</t>
  </si>
  <si>
    <t>Public holiday</t>
  </si>
  <si>
    <t>Public Holiday</t>
  </si>
  <si>
    <t>Quarterly Inspection of Artifitial Ventilation.</t>
  </si>
  <si>
    <t>PM-016 Bi-Monthly check of Generator (Fortight).</t>
  </si>
  <si>
    <t xml:space="preserve"> BI-MONTHLY</t>
  </si>
  <si>
    <t>WITKOP PREVENTATIVE MAINTENANCE PLAN 2025</t>
  </si>
  <si>
    <t>WL Jan 25</t>
  </si>
  <si>
    <t>WL Feb 25</t>
  </si>
  <si>
    <t>WL Mar 25</t>
  </si>
  <si>
    <t>WL Apr 25</t>
  </si>
  <si>
    <t>WL May 25</t>
  </si>
  <si>
    <t>WL Jun 25</t>
  </si>
  <si>
    <t>WL Jul 25</t>
  </si>
  <si>
    <t>WL Aug 25</t>
  </si>
  <si>
    <t>WL Sep 25</t>
  </si>
  <si>
    <t>WL Oct 25</t>
  </si>
  <si>
    <t>WL Nov 25</t>
  </si>
  <si>
    <t>WL Dec 25</t>
  </si>
  <si>
    <t>PM-008 Monthly Inspection of 22kV Power Transformer Dry,</t>
  </si>
  <si>
    <t>PM-001 Biannualy inspectiom of PV Modules</t>
  </si>
  <si>
    <t>PM-003 Biannually Inspection of Combiner box.</t>
  </si>
  <si>
    <t>PM-008 Montly Inspection of 22kV Power Transformer Dry,</t>
  </si>
  <si>
    <t>PM-009 Weekly Artifitial Ventilation</t>
  </si>
  <si>
    <t xml:space="preserve">PM 012 - Quaterly Inspection of SCADA System </t>
  </si>
  <si>
    <t>PM-003 Quaterly Visual inspection of Combiner box structure.</t>
  </si>
  <si>
    <t>Bi-Monthly check of Generator (Fortight).</t>
  </si>
  <si>
    <t>PUBLIC HOLIDAY</t>
  </si>
  <si>
    <t>Tractor Service, Brush Cutters &amp; Ride-on</t>
  </si>
  <si>
    <t>Calibration of tools</t>
  </si>
  <si>
    <t>Fire Extinguishers Maintenance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</si>
</sst>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dd"/>
    <numFmt numFmtId="166" formatCode="0.0%"/>
  </numFmts>
  <fonts count="36" x14ac:knownFonts="1">
    <font>
      <sz val="11"/>
      <name val="Trebuchet MS"/>
      <family val="2"/>
      <scheme val="minor"/>
    </font>
    <font>
      <sz val="11"/>
      <color theme="1"/>
      <name val="Trebuchet MS"/>
      <family val="2"/>
      <scheme val="minor"/>
    </font>
    <font>
      <sz val="8"/>
      <name val="Arial"/>
      <family val="2"/>
    </font>
    <font>
      <sz val="10"/>
      <name val="Century Gothic"/>
      <family val="2"/>
    </font>
    <font>
      <b/>
      <sz val="11"/>
      <color theme="0"/>
      <name val="Trebuchet MS"/>
      <family val="2"/>
      <scheme val="minor"/>
    </font>
    <font>
      <b/>
      <sz val="14"/>
      <color theme="0"/>
      <name val="Trebuchet MS"/>
      <family val="2"/>
      <scheme val="minor"/>
    </font>
    <font>
      <b/>
      <sz val="28"/>
      <color theme="0"/>
      <name val="Arial"/>
      <family val="2"/>
      <scheme val="major"/>
    </font>
    <font>
      <sz val="36"/>
      <color theme="4" tint="-0.24994659260841701"/>
      <name val="Trebuchet MS"/>
      <family val="2"/>
      <scheme val="minor"/>
    </font>
    <font>
      <b/>
      <sz val="11"/>
      <color theme="3"/>
      <name val="Arial"/>
      <family val="2"/>
      <scheme val="major"/>
    </font>
    <font>
      <sz val="16"/>
      <color theme="1"/>
      <name val="Trebuchet MS"/>
      <family val="2"/>
      <scheme val="minor"/>
    </font>
    <font>
      <b/>
      <sz val="11"/>
      <color theme="0"/>
      <name val="Arial"/>
      <family val="2"/>
      <scheme val="major"/>
    </font>
    <font>
      <sz val="11"/>
      <name val="Trebuchet MS"/>
      <family val="2"/>
      <scheme val="minor"/>
    </font>
    <font>
      <sz val="11"/>
      <color theme="1"/>
      <name val="Arial"/>
      <family val="2"/>
      <scheme val="major"/>
    </font>
    <font>
      <sz val="11"/>
      <color indexed="63"/>
      <name val="Trebuchet MS"/>
      <family val="2"/>
      <scheme val="minor"/>
    </font>
    <font>
      <b/>
      <sz val="11"/>
      <color theme="1"/>
      <name val="Trebuchet MS"/>
      <family val="2"/>
      <scheme val="minor"/>
    </font>
    <font>
      <i/>
      <sz val="11"/>
      <color theme="3" tint="-0.24994659260841701"/>
      <name val="Trebuchet MS"/>
      <family val="2"/>
      <scheme val="minor"/>
    </font>
    <font>
      <sz val="11"/>
      <color rgb="FF9C6500"/>
      <name val="Trebuchet MS"/>
      <family val="2"/>
      <scheme val="minor"/>
    </font>
    <font>
      <sz val="10"/>
      <color rgb="FF000000"/>
      <name val="Arial"/>
      <family val="2"/>
    </font>
    <font>
      <sz val="11"/>
      <color rgb="FF000000"/>
      <name val="Calibri"/>
      <family val="2"/>
    </font>
    <font>
      <b/>
      <sz val="10"/>
      <name val="Trebuchet MS"/>
      <family val="2"/>
      <scheme val="minor"/>
    </font>
    <font>
      <sz val="9"/>
      <color theme="1"/>
      <name val="Trebuchet MS"/>
      <family val="2"/>
      <scheme val="minor"/>
    </font>
    <font>
      <b/>
      <sz val="10"/>
      <color theme="0"/>
      <name val="Trebuchet MS"/>
      <family val="2"/>
      <scheme val="minor"/>
    </font>
    <font>
      <sz val="10"/>
      <color theme="1"/>
      <name val="Trebuchet MS"/>
      <family val="2"/>
      <scheme val="minor"/>
    </font>
    <font>
      <sz val="8"/>
      <color theme="1"/>
      <name val="Trebuchet MS"/>
      <family val="2"/>
      <scheme val="minor"/>
    </font>
    <font>
      <b/>
      <sz val="10"/>
      <color theme="1"/>
      <name val="Trebuchet MS"/>
      <family val="2"/>
      <scheme val="minor"/>
    </font>
    <font>
      <sz val="10"/>
      <name val="Trebuchet MS"/>
      <family val="2"/>
      <scheme val="minor"/>
    </font>
    <font>
      <sz val="12"/>
      <color theme="0"/>
      <name val="Trebuchet MS"/>
      <family val="2"/>
      <scheme val="minor"/>
    </font>
    <font>
      <sz val="9"/>
      <color rgb="FF000000"/>
      <name val="Calibri"/>
      <family val="2"/>
    </font>
    <font>
      <b/>
      <sz val="28"/>
      <color theme="1"/>
      <name val="Trebuchet MS"/>
      <family val="2"/>
      <scheme val="minor"/>
    </font>
    <font>
      <sz val="8"/>
      <name val="Trebuchet MS"/>
      <family val="2"/>
      <scheme val="minor"/>
    </font>
    <font>
      <b/>
      <sz val="9"/>
      <color rgb="FF000000"/>
      <name val="Calibri"/>
      <family val="2"/>
    </font>
    <font>
      <b/>
      <sz val="11"/>
      <color rgb="FF000000"/>
      <name val="Calibri"/>
      <family val="2"/>
    </font>
    <font>
      <sz val="9"/>
      <name val="Trebuchet MS"/>
      <family val="2"/>
      <scheme val="minor"/>
    </font>
    <font>
      <sz val="10"/>
      <color rgb="FF000000"/>
      <name val="Calibri"/>
      <family val="2"/>
    </font>
    <font>
      <sz val="9"/>
      <name val="Calibri"/>
      <family val="2"/>
    </font>
    <font>
      <b/>
      <sz val="14"/>
      <color rgb="FF000000"/>
      <name val="Arial"/>
      <family val="2"/>
    </font>
  </fonts>
  <fills count="25">
    <fill>
      <patternFill patternType="none"/>
    </fill>
    <fill>
      <patternFill patternType="gray125"/>
    </fill>
    <fill>
      <patternFill patternType="solid">
        <fgColor indexed="9"/>
        <bgColor indexed="64"/>
      </patternFill>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4" tint="-0.24994659260841701"/>
        <bgColor indexed="64"/>
      </patternFill>
    </fill>
    <fill>
      <patternFill patternType="solid">
        <fgColor theme="7" tint="-0.499984740745262"/>
        <bgColor indexed="64"/>
      </patternFill>
    </fill>
    <fill>
      <patternFill patternType="solid">
        <fgColor rgb="FFFFFFCC"/>
      </patternFill>
    </fill>
    <fill>
      <patternFill patternType="solid">
        <fgColor rgb="FFFFEB9C"/>
      </patternFill>
    </fill>
    <fill>
      <patternFill patternType="solid">
        <fgColor theme="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B0F0"/>
        <bgColor indexed="64"/>
      </patternFill>
    </fill>
    <fill>
      <patternFill patternType="solid">
        <fgColor rgb="FFFFFF00"/>
        <bgColor rgb="FF000000"/>
      </patternFill>
    </fill>
    <fill>
      <patternFill patternType="solid">
        <fgColor theme="5" tint="-0.249977111117893"/>
        <bgColor indexed="64"/>
      </patternFill>
    </fill>
    <fill>
      <patternFill patternType="solid">
        <fgColor theme="7"/>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1" tint="0.499984740745262"/>
        <bgColor indexed="64"/>
      </patternFill>
    </fill>
  </fills>
  <borders count="40">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right style="thick">
        <color theme="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3743705557422"/>
      </bottom>
      <diagonal/>
    </border>
    <border>
      <left style="thin">
        <color theme="0" tint="-0.14996795556505021"/>
      </left>
      <right/>
      <top style="thin">
        <color theme="0" tint="-0.14993743705557422"/>
      </top>
      <bottom/>
      <diagonal/>
    </border>
    <border>
      <left/>
      <right style="thin">
        <color theme="0" tint="-0.14993743705557422"/>
      </right>
      <top style="thin">
        <color theme="0" tint="-0.14996795556505021"/>
      </top>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right/>
      <top style="thin">
        <color theme="4" tint="-0.24994659260841701"/>
      </top>
      <bottom style="double">
        <color theme="4" tint="-0.24994659260841701"/>
      </bottom>
      <diagonal/>
    </border>
    <border>
      <left style="thin">
        <color theme="0" tint="-0.14996795556505021"/>
      </left>
      <right/>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rgb="FF595959"/>
      </left>
      <right style="thin">
        <color rgb="FF595959"/>
      </right>
      <top style="thin">
        <color rgb="FFD8D8D8"/>
      </top>
      <bottom/>
      <diagonal/>
    </border>
    <border>
      <left style="thin">
        <color rgb="FF595959"/>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theme="0" tint="-0.14996795556505021"/>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rgb="FF595959"/>
      </left>
      <right style="thin">
        <color rgb="FF595959"/>
      </right>
      <top/>
      <bottom style="thin">
        <color indexed="64"/>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theme="0" tint="-0.14996795556505021"/>
      </top>
      <bottom style="thin">
        <color indexed="64"/>
      </bottom>
      <diagonal/>
    </border>
    <border>
      <left/>
      <right style="thin">
        <color theme="0" tint="-0.14993743705557422"/>
      </right>
      <top style="thin">
        <color theme="0" tint="-0.14996795556505021"/>
      </top>
      <bottom style="thin">
        <color indexed="64"/>
      </bottom>
      <diagonal/>
    </border>
    <border>
      <left style="thin">
        <color rgb="FF595959"/>
      </left>
      <right style="thin">
        <color indexed="64"/>
      </right>
      <top style="thin">
        <color indexed="64"/>
      </top>
      <bottom style="thin">
        <color indexed="64"/>
      </bottom>
      <diagonal/>
    </border>
    <border>
      <left style="thin">
        <color theme="0" tint="-0.14996795556505021"/>
      </left>
      <right/>
      <top style="thin">
        <color theme="0" tint="-0.14996795556505021"/>
      </top>
      <bottom style="thin">
        <color indexed="64"/>
      </bottom>
      <diagonal/>
    </border>
    <border>
      <left/>
      <right style="thin">
        <color theme="0" tint="-0.14993743705557422"/>
      </right>
      <top/>
      <bottom/>
      <diagonal/>
    </border>
  </borders>
  <cellStyleXfs count="19">
    <xf numFmtId="0" fontId="0" fillId="0" borderId="0" applyFill="0" applyBorder="0" applyProtection="0"/>
    <xf numFmtId="0" fontId="13" fillId="3" borderId="0" applyNumberFormat="0" applyBorder="0" applyAlignment="0" applyProtection="0"/>
    <xf numFmtId="0" fontId="7" fillId="0" borderId="0" applyNumberFormat="0" applyFill="0" applyProtection="0">
      <alignment horizontal="left" indent="3"/>
    </xf>
    <xf numFmtId="0" fontId="4" fillId="4" borderId="1" applyNumberFormat="0" applyAlignment="0" applyProtection="0"/>
    <xf numFmtId="0" fontId="5" fillId="5" borderId="2" applyNumberFormat="0" applyProtection="0">
      <alignment vertical="center"/>
    </xf>
    <xf numFmtId="165" fontId="9" fillId="0" borderId="9" applyFill="0" applyProtection="0">
      <alignment horizontal="left" vertical="center" wrapText="1" indent="1"/>
    </xf>
    <xf numFmtId="165" fontId="12" fillId="0" borderId="6" applyFill="0" applyProtection="0">
      <alignment horizontal="left" vertical="top" wrapText="1" indent="1"/>
    </xf>
    <xf numFmtId="165" fontId="1" fillId="0" borderId="0" applyNumberFormat="0" applyFill="0" applyProtection="0">
      <alignment horizontal="left" vertical="top" wrapText="1" indent="1"/>
    </xf>
    <xf numFmtId="165" fontId="11" fillId="0" borderId="8" applyNumberFormat="0" applyFill="0" applyProtection="0">
      <alignment horizontal="left" vertical="center" wrapText="1" indent="1"/>
    </xf>
    <xf numFmtId="0" fontId="6" fillId="6" borderId="0" applyNumberFormat="0" applyBorder="0" applyProtection="0">
      <alignment horizontal="center"/>
    </xf>
    <xf numFmtId="0" fontId="10" fillId="7" borderId="3" applyNumberFormat="0" applyProtection="0">
      <alignment horizontal="left" vertical="center" indent="1"/>
    </xf>
    <xf numFmtId="0" fontId="10" fillId="6" borderId="3" applyNumberFormat="0" applyProtection="0">
      <alignment horizontal="left" indent="1"/>
    </xf>
    <xf numFmtId="0" fontId="8" fillId="0" borderId="0" applyNumberFormat="0" applyFill="0" applyBorder="0" applyAlignment="0" applyProtection="0"/>
    <xf numFmtId="0" fontId="11" fillId="8" borderId="10" applyNumberFormat="0" applyFont="0" applyAlignment="0" applyProtection="0"/>
    <xf numFmtId="0" fontId="15" fillId="0" borderId="0" applyNumberFormat="0" applyFill="0" applyBorder="0" applyAlignment="0" applyProtection="0"/>
    <xf numFmtId="0" fontId="14" fillId="0" borderId="11" applyNumberFormat="0" applyFill="0" applyAlignment="0" applyProtection="0"/>
    <xf numFmtId="0" fontId="16" fillId="9" borderId="0" applyNumberFormat="0" applyBorder="0" applyAlignment="0" applyProtection="0"/>
    <xf numFmtId="0" fontId="17" fillId="0" borderId="0"/>
    <xf numFmtId="9" fontId="17" fillId="0" borderId="0" applyFont="0" applyFill="0" applyBorder="0" applyAlignment="0" applyProtection="0"/>
  </cellStyleXfs>
  <cellXfs count="176">
    <xf numFmtId="0" fontId="0" fillId="0" borderId="0" xfId="0"/>
    <xf numFmtId="0" fontId="6" fillId="6" borderId="0" xfId="9">
      <alignment horizontal="center"/>
    </xf>
    <xf numFmtId="0" fontId="0" fillId="2" borderId="0" xfId="0" applyFill="1"/>
    <xf numFmtId="0" fontId="3" fillId="0" borderId="0" xfId="0" applyFont="1"/>
    <xf numFmtId="165" fontId="9" fillId="0" borderId="9" xfId="5" applyFill="1">
      <alignment horizontal="left" vertical="center" wrapText="1" indent="1"/>
    </xf>
    <xf numFmtId="165" fontId="9" fillId="0" borderId="4" xfId="5" applyFill="1" applyBorder="1">
      <alignment horizontal="left" vertical="center" wrapText="1" indent="1"/>
    </xf>
    <xf numFmtId="0" fontId="10" fillId="7" borderId="3" xfId="10">
      <alignment horizontal="left" vertical="center" indent="1"/>
    </xf>
    <xf numFmtId="0" fontId="10" fillId="6" borderId="3" xfId="11" applyAlignment="1">
      <alignment horizontal="left" vertical="center" indent="1"/>
    </xf>
    <xf numFmtId="0" fontId="0" fillId="2" borderId="0" xfId="0" applyFill="1" applyBorder="1"/>
    <xf numFmtId="0" fontId="12" fillId="0" borderId="6" xfId="6" applyNumberFormat="1" applyFill="1">
      <alignment horizontal="left" vertical="top" wrapText="1" indent="1"/>
    </xf>
    <xf numFmtId="0" fontId="12" fillId="0" borderId="5" xfId="6" applyNumberFormat="1" applyFill="1" applyBorder="1">
      <alignment horizontal="left" vertical="top" wrapText="1" indent="1"/>
    </xf>
    <xf numFmtId="0" fontId="12" fillId="0" borderId="7" xfId="6" applyNumberFormat="1" applyFill="1" applyBorder="1">
      <alignment horizontal="left" vertical="top" wrapText="1" indent="1"/>
    </xf>
    <xf numFmtId="0" fontId="12" fillId="0" borderId="12" xfId="6" applyNumberFormat="1" applyFill="1" applyBorder="1">
      <alignment horizontal="left" vertical="top" wrapText="1" indent="1"/>
    </xf>
    <xf numFmtId="165" fontId="9" fillId="0" borderId="5" xfId="5" applyFill="1" applyBorder="1">
      <alignment horizontal="left" vertical="center" wrapText="1" indent="1"/>
    </xf>
    <xf numFmtId="0" fontId="27" fillId="14" borderId="23" xfId="17" applyFont="1" applyFill="1" applyBorder="1" applyAlignment="1">
      <alignment horizontal="left" vertical="center" wrapText="1"/>
    </xf>
    <xf numFmtId="0" fontId="27" fillId="12" borderId="23" xfId="17" applyFont="1" applyFill="1" applyBorder="1" applyAlignment="1">
      <alignment vertical="center" wrapText="1"/>
    </xf>
    <xf numFmtId="0" fontId="21" fillId="11" borderId="26" xfId="16" applyFont="1" applyFill="1" applyBorder="1" applyAlignment="1">
      <alignment horizontal="center" vertical="center"/>
    </xf>
    <xf numFmtId="0" fontId="19" fillId="11" borderId="26" xfId="16" applyFont="1" applyFill="1" applyBorder="1" applyAlignment="1">
      <alignment horizontal="left" vertical="center"/>
    </xf>
    <xf numFmtId="0" fontId="22" fillId="11" borderId="26" xfId="18" applyNumberFormat="1" applyFont="1" applyFill="1" applyBorder="1" applyAlignment="1">
      <alignment horizontal="center" vertical="center" wrapText="1"/>
    </xf>
    <xf numFmtId="0" fontId="22" fillId="11" borderId="26" xfId="18" applyNumberFormat="1" applyFont="1" applyFill="1" applyBorder="1" applyAlignment="1">
      <alignment horizontal="center" vertical="center"/>
    </xf>
    <xf numFmtId="0" fontId="23" fillId="11" borderId="26" xfId="18" applyNumberFormat="1" applyFont="1" applyFill="1" applyBorder="1" applyAlignment="1">
      <alignment horizontal="center" vertical="center"/>
    </xf>
    <xf numFmtId="166" fontId="23" fillId="11" borderId="26" xfId="18" applyNumberFormat="1" applyFont="1" applyFill="1" applyBorder="1" applyAlignment="1">
      <alignment horizontal="center" vertical="center"/>
    </xf>
    <xf numFmtId="0" fontId="22" fillId="11" borderId="24" xfId="18" applyNumberFormat="1" applyFont="1" applyFill="1" applyBorder="1" applyAlignment="1">
      <alignment horizontal="center" vertical="center" wrapText="1"/>
    </xf>
    <xf numFmtId="9" fontId="23" fillId="11" borderId="26" xfId="18" applyFont="1" applyFill="1" applyBorder="1" applyAlignment="1">
      <alignment vertical="center"/>
    </xf>
    <xf numFmtId="9" fontId="23" fillId="11" borderId="26" xfId="18" applyFont="1" applyFill="1" applyBorder="1" applyAlignment="1">
      <alignment horizontal="center" vertical="center"/>
    </xf>
    <xf numFmtId="0" fontId="22" fillId="12" borderId="24" xfId="18" applyNumberFormat="1" applyFont="1" applyFill="1" applyBorder="1" applyAlignment="1">
      <alignment horizontal="center" vertical="center" wrapText="1"/>
    </xf>
    <xf numFmtId="9" fontId="23" fillId="11" borderId="29" xfId="18" applyFont="1" applyFill="1" applyBorder="1" applyAlignment="1">
      <alignment vertical="center"/>
    </xf>
    <xf numFmtId="9" fontId="23" fillId="11" borderId="0" xfId="18" applyFont="1" applyFill="1" applyBorder="1" applyAlignment="1">
      <alignment vertical="center"/>
    </xf>
    <xf numFmtId="0" fontId="17" fillId="14" borderId="13" xfId="17" applyFill="1" applyBorder="1" applyAlignment="1">
      <alignment horizontal="center" vertical="center"/>
    </xf>
    <xf numFmtId="0" fontId="17" fillId="12" borderId="13" xfId="17" applyFill="1" applyBorder="1"/>
    <xf numFmtId="0" fontId="17" fillId="15" borderId="13" xfId="17" applyFill="1" applyBorder="1"/>
    <xf numFmtId="0" fontId="27" fillId="15" borderId="23" xfId="17" applyFont="1" applyFill="1" applyBorder="1" applyAlignment="1">
      <alignment horizontal="left" vertical="center" wrapText="1"/>
    </xf>
    <xf numFmtId="0" fontId="18" fillId="16" borderId="22" xfId="17" applyFont="1" applyFill="1" applyBorder="1" applyAlignment="1">
      <alignment horizontal="left" vertical="center" wrapText="1"/>
    </xf>
    <xf numFmtId="0" fontId="27" fillId="12" borderId="23" xfId="17" applyFont="1" applyFill="1" applyBorder="1" applyAlignment="1">
      <alignment horizontal="center" vertical="center" wrapText="1"/>
    </xf>
    <xf numFmtId="0" fontId="27" fillId="17" borderId="23" xfId="17" applyFont="1" applyFill="1" applyBorder="1" applyAlignment="1">
      <alignment horizontal="left" vertical="center" wrapText="1"/>
    </xf>
    <xf numFmtId="0" fontId="27" fillId="18" borderId="23" xfId="17" applyFont="1" applyFill="1" applyBorder="1" applyAlignment="1">
      <alignment horizontal="left" vertical="center" wrapText="1"/>
    </xf>
    <xf numFmtId="0" fontId="27" fillId="19" borderId="23" xfId="17" applyFont="1" applyFill="1" applyBorder="1" applyAlignment="1">
      <alignment horizontal="center" vertical="center" wrapText="1"/>
    </xf>
    <xf numFmtId="0" fontId="27" fillId="15" borderId="23" xfId="17" applyFont="1" applyFill="1" applyBorder="1" applyAlignment="1">
      <alignment vertical="center" wrapText="1"/>
    </xf>
    <xf numFmtId="0" fontId="27" fillId="15" borderId="23" xfId="17" applyFont="1" applyFill="1" applyBorder="1" applyAlignment="1">
      <alignment horizontal="center" vertical="center" wrapText="1"/>
    </xf>
    <xf numFmtId="0" fontId="17" fillId="17" borderId="0" xfId="17" applyFill="1"/>
    <xf numFmtId="0" fontId="19" fillId="10" borderId="24" xfId="0" applyFont="1" applyFill="1" applyBorder="1" applyAlignment="1">
      <alignment horizontal="center" vertical="center" textRotation="90" wrapText="1"/>
    </xf>
    <xf numFmtId="0" fontId="19" fillId="10" borderId="24" xfId="0" applyFont="1" applyFill="1" applyBorder="1" applyAlignment="1">
      <alignment horizontal="center" vertical="center"/>
    </xf>
    <xf numFmtId="0" fontId="19" fillId="10" borderId="24" xfId="0" applyFont="1" applyFill="1" applyBorder="1" applyAlignment="1">
      <alignment horizontal="center" vertical="center" wrapText="1"/>
    </xf>
    <xf numFmtId="0" fontId="20" fillId="11" borderId="25" xfId="0" applyFont="1" applyFill="1" applyBorder="1" applyAlignment="1">
      <alignment horizontal="left" vertical="center"/>
    </xf>
    <xf numFmtId="0" fontId="22" fillId="11" borderId="26" xfId="0" applyFont="1" applyFill="1" applyBorder="1" applyAlignment="1">
      <alignment horizontal="center" vertical="center"/>
    </xf>
    <xf numFmtId="0" fontId="24" fillId="11" borderId="26" xfId="0" applyFont="1" applyFill="1" applyBorder="1" applyAlignment="1">
      <alignment horizontal="center" vertical="center"/>
    </xf>
    <xf numFmtId="0" fontId="23" fillId="11" borderId="26" xfId="0" applyFont="1" applyFill="1" applyBorder="1" applyAlignment="1">
      <alignment horizontal="center" vertical="center"/>
    </xf>
    <xf numFmtId="0" fontId="22" fillId="11" borderId="24" xfId="0" applyFont="1" applyFill="1" applyBorder="1" applyAlignment="1">
      <alignment horizontal="center" vertical="center" wrapText="1"/>
    </xf>
    <xf numFmtId="0" fontId="25" fillId="11" borderId="24" xfId="0" applyFont="1" applyFill="1" applyBorder="1" applyAlignment="1">
      <alignment horizontal="left" vertical="top" wrapText="1"/>
    </xf>
    <xf numFmtId="0" fontId="22" fillId="11" borderId="24" xfId="0" applyFont="1" applyFill="1" applyBorder="1" applyAlignment="1">
      <alignment horizontal="left" vertical="top" wrapText="1"/>
    </xf>
    <xf numFmtId="164" fontId="22" fillId="0" borderId="24" xfId="18" applyNumberFormat="1" applyFont="1" applyFill="1" applyBorder="1" applyAlignment="1" applyProtection="1">
      <alignment horizontal="center" vertical="center" wrapText="1"/>
      <protection locked="0"/>
    </xf>
    <xf numFmtId="164" fontId="22" fillId="10" borderId="24" xfId="18" applyNumberFormat="1" applyFont="1" applyFill="1" applyBorder="1" applyAlignment="1" applyProtection="1">
      <alignment horizontal="center" vertical="center" wrapText="1"/>
      <protection locked="0"/>
    </xf>
    <xf numFmtId="0" fontId="26" fillId="11" borderId="24" xfId="0" applyFont="1" applyFill="1" applyBorder="1" applyAlignment="1">
      <alignment horizontal="center" vertical="center" wrapText="1"/>
    </xf>
    <xf numFmtId="0" fontId="24" fillId="11" borderId="26" xfId="0" applyFont="1" applyFill="1" applyBorder="1" applyAlignment="1" applyProtection="1">
      <alignment horizontal="center" vertical="center"/>
      <protection locked="0"/>
    </xf>
    <xf numFmtId="0" fontId="22" fillId="11" borderId="26" xfId="0" applyFont="1" applyFill="1" applyBorder="1" applyAlignment="1" applyProtection="1">
      <alignment horizontal="center" vertical="center"/>
      <protection locked="0"/>
    </xf>
    <xf numFmtId="0" fontId="22" fillId="11" borderId="24" xfId="0" applyFont="1" applyFill="1" applyBorder="1" applyAlignment="1">
      <alignment vertical="top"/>
    </xf>
    <xf numFmtId="3" fontId="22" fillId="11" borderId="24" xfId="0" applyNumberFormat="1" applyFont="1" applyFill="1" applyBorder="1" applyAlignment="1">
      <alignment horizontal="center" vertical="center" wrapText="1"/>
    </xf>
    <xf numFmtId="0" fontId="22" fillId="11" borderId="24" xfId="0" quotePrefix="1" applyFont="1" applyFill="1" applyBorder="1" applyAlignment="1">
      <alignment horizontal="center" vertical="center" wrapText="1"/>
    </xf>
    <xf numFmtId="0" fontId="22" fillId="12" borderId="24" xfId="0" applyFont="1" applyFill="1" applyBorder="1" applyAlignment="1">
      <alignment horizontal="center" vertical="center" wrapText="1"/>
    </xf>
    <xf numFmtId="0" fontId="22" fillId="12" borderId="24" xfId="0" applyFont="1" applyFill="1" applyBorder="1" applyAlignment="1">
      <alignment vertical="top"/>
    </xf>
    <xf numFmtId="0" fontId="22" fillId="12" borderId="24" xfId="0" applyFont="1" applyFill="1" applyBorder="1" applyAlignment="1">
      <alignment horizontal="left" vertical="top" wrapText="1"/>
    </xf>
    <xf numFmtId="3" fontId="22" fillId="12" borderId="24" xfId="0" applyNumberFormat="1" applyFont="1" applyFill="1" applyBorder="1" applyAlignment="1">
      <alignment horizontal="center" vertical="center" wrapText="1"/>
    </xf>
    <xf numFmtId="0" fontId="22" fillId="12" borderId="24" xfId="0" quotePrefix="1" applyFont="1" applyFill="1" applyBorder="1" applyAlignment="1">
      <alignment horizontal="center" vertical="center" wrapText="1"/>
    </xf>
    <xf numFmtId="164" fontId="25" fillId="12" borderId="24" xfId="18" applyNumberFormat="1" applyFont="1" applyFill="1" applyBorder="1" applyAlignment="1" applyProtection="1">
      <alignment horizontal="center" vertical="center" wrapText="1"/>
      <protection locked="0"/>
    </xf>
    <xf numFmtId="164" fontId="22" fillId="12" borderId="24" xfId="18" applyNumberFormat="1" applyFont="1" applyFill="1" applyBorder="1" applyAlignment="1" applyProtection="1">
      <alignment horizontal="center" vertical="center" wrapText="1"/>
      <protection locked="0"/>
    </xf>
    <xf numFmtId="0" fontId="23" fillId="11" borderId="25" xfId="0" applyFont="1" applyFill="1" applyBorder="1" applyAlignment="1">
      <alignment horizontal="left" vertical="center"/>
    </xf>
    <xf numFmtId="0" fontId="24" fillId="11" borderId="26" xfId="0" applyFont="1" applyFill="1" applyBorder="1" applyAlignment="1">
      <alignment vertical="center"/>
    </xf>
    <xf numFmtId="0" fontId="22" fillId="12" borderId="24" xfId="0" applyFont="1" applyFill="1" applyBorder="1" applyAlignment="1">
      <alignment horizontal="left" vertical="center" wrapText="1"/>
    </xf>
    <xf numFmtId="0" fontId="25" fillId="12" borderId="24" xfId="0" applyFont="1" applyFill="1" applyBorder="1" applyAlignment="1">
      <alignment horizontal="left" vertical="top" wrapText="1"/>
    </xf>
    <xf numFmtId="0" fontId="22" fillId="12" borderId="24" xfId="0" applyFont="1" applyFill="1" applyBorder="1" applyAlignment="1">
      <alignment horizontal="justify" vertical="center" wrapText="1"/>
    </xf>
    <xf numFmtId="0" fontId="22" fillId="12" borderId="24" xfId="0" applyFont="1" applyFill="1" applyBorder="1" applyAlignment="1">
      <alignment vertical="top" wrapText="1"/>
    </xf>
    <xf numFmtId="0" fontId="22" fillId="11" borderId="24" xfId="0" applyFont="1" applyFill="1" applyBorder="1" applyAlignment="1">
      <alignment vertical="top" wrapText="1"/>
    </xf>
    <xf numFmtId="0" fontId="22" fillId="11" borderId="24" xfId="0" applyFont="1" applyFill="1" applyBorder="1" applyAlignment="1">
      <alignment horizontal="justify" vertical="center" wrapText="1"/>
    </xf>
    <xf numFmtId="0" fontId="25" fillId="11" borderId="24" xfId="0" applyFont="1" applyFill="1" applyBorder="1" applyAlignment="1">
      <alignment horizontal="center" vertical="center" wrapText="1"/>
    </xf>
    <xf numFmtId="0" fontId="22" fillId="11" borderId="24" xfId="0" applyFont="1" applyFill="1" applyBorder="1" applyAlignment="1">
      <alignment horizontal="center" vertical="center"/>
    </xf>
    <xf numFmtId="164" fontId="22" fillId="0" borderId="24" xfId="18" applyNumberFormat="1" applyFont="1" applyFill="1" applyBorder="1" applyAlignment="1" applyProtection="1">
      <alignment horizontal="center" vertical="center"/>
      <protection locked="0"/>
    </xf>
    <xf numFmtId="0" fontId="25" fillId="11" borderId="27" xfId="0" applyFont="1" applyFill="1" applyBorder="1" applyAlignment="1">
      <alignment horizontal="left" vertical="top" wrapText="1"/>
    </xf>
    <xf numFmtId="0" fontId="22" fillId="11" borderId="26" xfId="0" applyFont="1" applyFill="1" applyBorder="1" applyAlignment="1">
      <alignment horizontal="left" vertical="top" wrapText="1"/>
    </xf>
    <xf numFmtId="0" fontId="22" fillId="11" borderId="28" xfId="0" applyFont="1" applyFill="1" applyBorder="1" applyAlignment="1">
      <alignment horizontal="center" vertical="center"/>
    </xf>
    <xf numFmtId="0" fontId="22" fillId="11" borderId="24" xfId="0" applyFont="1" applyFill="1" applyBorder="1" applyAlignment="1">
      <alignment horizontal="justify" vertical="center"/>
    </xf>
    <xf numFmtId="0" fontId="22" fillId="11" borderId="26" xfId="0" applyFont="1" applyFill="1" applyBorder="1" applyAlignment="1">
      <alignment horizontal="center" vertical="center" wrapText="1"/>
    </xf>
    <xf numFmtId="0" fontId="24" fillId="11" borderId="26" xfId="0" applyFont="1" applyFill="1" applyBorder="1" applyAlignment="1">
      <alignment horizontal="left" vertical="center"/>
    </xf>
    <xf numFmtId="0" fontId="25" fillId="11" borderId="24" xfId="0" applyFont="1" applyFill="1" applyBorder="1" applyAlignment="1">
      <alignment horizontal="left" vertical="center" wrapText="1"/>
    </xf>
    <xf numFmtId="0" fontId="22" fillId="11" borderId="27" xfId="0" applyFont="1" applyFill="1" applyBorder="1" applyAlignment="1">
      <alignment horizontal="left" vertical="top" wrapText="1"/>
    </xf>
    <xf numFmtId="0" fontId="22" fillId="11" borderId="27" xfId="0" applyFont="1" applyFill="1" applyBorder="1" applyAlignment="1">
      <alignment horizontal="center" vertical="center" wrapText="1"/>
    </xf>
    <xf numFmtId="0" fontId="22" fillId="11" borderId="27" xfId="0" applyFont="1" applyFill="1" applyBorder="1" applyAlignment="1">
      <alignment horizontal="justify" vertical="center" wrapText="1"/>
    </xf>
    <xf numFmtId="164" fontId="22" fillId="13" borderId="24" xfId="18" applyNumberFormat="1" applyFont="1" applyFill="1" applyBorder="1" applyAlignment="1" applyProtection="1">
      <alignment horizontal="center" vertical="center" wrapText="1"/>
      <protection locked="0"/>
    </xf>
    <xf numFmtId="0" fontId="22" fillId="11" borderId="30" xfId="0" applyFont="1" applyFill="1" applyBorder="1" applyAlignment="1">
      <alignment horizontal="left" vertical="top" wrapText="1"/>
    </xf>
    <xf numFmtId="0" fontId="25" fillId="11" borderId="31" xfId="0" applyFont="1" applyFill="1" applyBorder="1" applyAlignment="1">
      <alignment horizontal="left" vertical="top" wrapText="1"/>
    </xf>
    <xf numFmtId="0" fontId="22" fillId="11" borderId="32" xfId="0" applyFont="1" applyFill="1" applyBorder="1" applyAlignment="1">
      <alignment horizontal="center" vertical="center" wrapText="1"/>
    </xf>
    <xf numFmtId="0" fontId="0" fillId="0" borderId="19" xfId="0" applyBorder="1"/>
    <xf numFmtId="0" fontId="0" fillId="0" borderId="20" xfId="0" applyBorder="1"/>
    <xf numFmtId="0" fontId="27" fillId="20" borderId="23" xfId="17" applyFont="1" applyFill="1" applyBorder="1" applyAlignment="1">
      <alignment horizontal="left" vertical="center" wrapText="1"/>
    </xf>
    <xf numFmtId="0" fontId="27" fillId="21" borderId="23" xfId="17" applyFont="1" applyFill="1" applyBorder="1" applyAlignment="1">
      <alignment horizontal="left" vertical="center" wrapText="1"/>
    </xf>
    <xf numFmtId="0" fontId="27" fillId="17" borderId="23" xfId="17" applyFont="1" applyFill="1" applyBorder="1" applyAlignment="1">
      <alignment vertical="center" wrapText="1"/>
    </xf>
    <xf numFmtId="0" fontId="27" fillId="19" borderId="23" xfId="17" applyFont="1" applyFill="1" applyBorder="1" applyAlignment="1">
      <alignment vertical="center" wrapText="1"/>
    </xf>
    <xf numFmtId="0" fontId="27" fillId="20" borderId="23" xfId="17" applyFont="1" applyFill="1" applyBorder="1" applyAlignment="1">
      <alignment vertical="center" wrapText="1"/>
    </xf>
    <xf numFmtId="0" fontId="27" fillId="20" borderId="0" xfId="17" applyFont="1" applyFill="1" applyAlignment="1">
      <alignment horizontal="left" vertical="center" wrapText="1"/>
    </xf>
    <xf numFmtId="165" fontId="20" fillId="0" borderId="9" xfId="5" applyFont="1" applyFill="1">
      <alignment horizontal="left" vertical="center" wrapText="1" indent="1"/>
    </xf>
    <xf numFmtId="0" fontId="27" fillId="21" borderId="23" xfId="17" applyFont="1" applyFill="1" applyBorder="1" applyAlignment="1">
      <alignment horizontal="center" vertical="center" wrapText="1"/>
    </xf>
    <xf numFmtId="0" fontId="27" fillId="21" borderId="23" xfId="17" applyFont="1" applyFill="1" applyBorder="1" applyAlignment="1">
      <alignment vertical="center" wrapText="1"/>
    </xf>
    <xf numFmtId="0" fontId="27" fillId="10" borderId="23" xfId="17" applyFont="1" applyFill="1" applyBorder="1" applyAlignment="1">
      <alignment horizontal="left" vertical="center" wrapText="1"/>
    </xf>
    <xf numFmtId="0" fontId="0" fillId="0" borderId="13" xfId="0" applyBorder="1"/>
    <xf numFmtId="0" fontId="17" fillId="14" borderId="19" xfId="17" applyFill="1" applyBorder="1" applyAlignment="1">
      <alignment horizontal="left" vertical="center"/>
    </xf>
    <xf numFmtId="0" fontId="17" fillId="14" borderId="20" xfId="17" applyFill="1" applyBorder="1" applyAlignment="1">
      <alignment horizontal="left" vertical="center"/>
    </xf>
    <xf numFmtId="0" fontId="17" fillId="12" borderId="19" xfId="17" applyFill="1" applyBorder="1" applyAlignment="1">
      <alignment horizontal="left"/>
    </xf>
    <xf numFmtId="0" fontId="17" fillId="12" borderId="20" xfId="17" applyFill="1" applyBorder="1" applyAlignment="1">
      <alignment horizontal="left"/>
    </xf>
    <xf numFmtId="0" fontId="17" fillId="15" borderId="19" xfId="17" applyFill="1" applyBorder="1" applyAlignment="1">
      <alignment horizontal="left"/>
    </xf>
    <xf numFmtId="0" fontId="17" fillId="15" borderId="20" xfId="17" applyFill="1" applyBorder="1" applyAlignment="1">
      <alignment horizontal="left"/>
    </xf>
    <xf numFmtId="0" fontId="27" fillId="12" borderId="23" xfId="17" applyFont="1" applyFill="1" applyBorder="1" applyAlignment="1">
      <alignment horizontal="left" vertical="center" wrapText="1"/>
    </xf>
    <xf numFmtId="0" fontId="0" fillId="22" borderId="19" xfId="0" applyFill="1" applyBorder="1"/>
    <xf numFmtId="0" fontId="0" fillId="22" borderId="20" xfId="0" applyFill="1" applyBorder="1"/>
    <xf numFmtId="0" fontId="0" fillId="22" borderId="13" xfId="0" applyFill="1" applyBorder="1"/>
    <xf numFmtId="0" fontId="27" fillId="22" borderId="23" xfId="17" applyFont="1" applyFill="1" applyBorder="1" applyAlignment="1">
      <alignment horizontal="center" vertical="center" wrapText="1"/>
    </xf>
    <xf numFmtId="165" fontId="9" fillId="0" borderId="35" xfId="5" applyFill="1" applyBorder="1">
      <alignment horizontal="left" vertical="center" wrapText="1" indent="1"/>
    </xf>
    <xf numFmtId="165" fontId="9" fillId="0" borderId="36" xfId="5" applyFill="1" applyBorder="1">
      <alignment horizontal="left" vertical="center" wrapText="1" indent="1"/>
    </xf>
    <xf numFmtId="165" fontId="9" fillId="23" borderId="9" xfId="5" applyFill="1">
      <alignment horizontal="left" vertical="center" wrapText="1" indent="1"/>
    </xf>
    <xf numFmtId="165" fontId="9" fillId="23" borderId="4" xfId="5" applyFill="1" applyBorder="1">
      <alignment horizontal="left" vertical="center" wrapText="1" indent="1"/>
    </xf>
    <xf numFmtId="0" fontId="27" fillId="14" borderId="0" xfId="17" applyFont="1" applyFill="1" applyAlignment="1">
      <alignment horizontal="left" vertical="center" wrapText="1"/>
    </xf>
    <xf numFmtId="0" fontId="0" fillId="0" borderId="16" xfId="0" applyBorder="1"/>
    <xf numFmtId="165" fontId="9" fillId="0" borderId="38" xfId="5" applyFill="1" applyBorder="1">
      <alignment horizontal="left" vertical="center" wrapText="1" indent="1"/>
    </xf>
    <xf numFmtId="0" fontId="32" fillId="0" borderId="0" xfId="0" applyFont="1" applyAlignment="1">
      <alignment wrapText="1"/>
    </xf>
    <xf numFmtId="0" fontId="33" fillId="10" borderId="23" xfId="17" applyFont="1" applyFill="1" applyBorder="1" applyAlignment="1">
      <alignment horizontal="left" vertical="center" wrapText="1"/>
    </xf>
    <xf numFmtId="0" fontId="27" fillId="10" borderId="0" xfId="17" applyFont="1" applyFill="1" applyAlignment="1">
      <alignment horizontal="left" vertical="center" wrapText="1"/>
    </xf>
    <xf numFmtId="165" fontId="9" fillId="0" borderId="0" xfId="5" applyFill="1" applyBorder="1">
      <alignment horizontal="left" vertical="center" wrapText="1" indent="1"/>
    </xf>
    <xf numFmtId="0" fontId="12" fillId="0" borderId="0" xfId="6" applyNumberFormat="1" applyFill="1" applyBorder="1">
      <alignment horizontal="left" vertical="top" wrapText="1" indent="1"/>
    </xf>
    <xf numFmtId="165" fontId="9" fillId="0" borderId="39" xfId="5" applyFill="1" applyBorder="1">
      <alignment horizontal="left" vertical="center" wrapText="1" indent="1"/>
    </xf>
    <xf numFmtId="0" fontId="27" fillId="10" borderId="0" xfId="17" applyFont="1" applyFill="1" applyAlignment="1">
      <alignment vertical="center" wrapText="1"/>
    </xf>
    <xf numFmtId="0" fontId="27" fillId="10" borderId="0" xfId="17" applyFont="1" applyFill="1" applyAlignment="1">
      <alignment horizontal="center" vertical="center" wrapText="1"/>
    </xf>
    <xf numFmtId="0" fontId="0" fillId="0" borderId="0" xfId="0" applyBorder="1"/>
    <xf numFmtId="0" fontId="27" fillId="10" borderId="23" xfId="17" applyFont="1" applyFill="1" applyBorder="1" applyAlignment="1">
      <alignment horizontal="center" vertical="center" wrapText="1"/>
    </xf>
    <xf numFmtId="0" fontId="12" fillId="10" borderId="0" xfId="6" applyNumberFormat="1" applyFill="1" applyBorder="1">
      <alignment horizontal="left" vertical="top" wrapText="1" indent="1"/>
    </xf>
    <xf numFmtId="0" fontId="27" fillId="22" borderId="23" xfId="17" applyFont="1" applyFill="1" applyBorder="1" applyAlignment="1">
      <alignment horizontal="left" vertical="center" wrapText="1"/>
    </xf>
    <xf numFmtId="0" fontId="0" fillId="22" borderId="34" xfId="0" applyFill="1" applyBorder="1"/>
    <xf numFmtId="0" fontId="0" fillId="10" borderId="0" xfId="0" applyFill="1" applyBorder="1"/>
    <xf numFmtId="0" fontId="17" fillId="20" borderId="19" xfId="17" applyFill="1" applyBorder="1" applyAlignment="1">
      <alignment horizontal="left"/>
    </xf>
    <xf numFmtId="0" fontId="17" fillId="20" borderId="20" xfId="17" applyFill="1" applyBorder="1" applyAlignment="1">
      <alignment horizontal="left"/>
    </xf>
    <xf numFmtId="0" fontId="17" fillId="20" borderId="13" xfId="17" applyFill="1" applyBorder="1"/>
    <xf numFmtId="0" fontId="17" fillId="21" borderId="0" xfId="17" applyFill="1"/>
    <xf numFmtId="0" fontId="0" fillId="24" borderId="19" xfId="0" applyFill="1" applyBorder="1"/>
    <xf numFmtId="0" fontId="0" fillId="24" borderId="20" xfId="0" applyFill="1" applyBorder="1"/>
    <xf numFmtId="0" fontId="0" fillId="24" borderId="13" xfId="0" applyFill="1" applyBorder="1"/>
    <xf numFmtId="0" fontId="31" fillId="24" borderId="33" xfId="17" applyFont="1" applyFill="1" applyBorder="1" applyAlignment="1">
      <alignment horizontal="left" vertical="center" wrapText="1"/>
    </xf>
    <xf numFmtId="0" fontId="30" fillId="24" borderId="37" xfId="17" applyFont="1" applyFill="1" applyBorder="1" applyAlignment="1">
      <alignment horizontal="left" vertical="center" wrapText="1"/>
    </xf>
    <xf numFmtId="0" fontId="30" fillId="24" borderId="23" xfId="17" applyFont="1" applyFill="1" applyBorder="1" applyAlignment="1">
      <alignment horizontal="left" vertical="center" wrapText="1"/>
    </xf>
    <xf numFmtId="0" fontId="30" fillId="24" borderId="23" xfId="17" applyFont="1" applyFill="1" applyBorder="1" applyAlignment="1">
      <alignment vertical="center" wrapText="1"/>
    </xf>
    <xf numFmtId="0" fontId="12" fillId="24" borderId="6" xfId="6" applyNumberFormat="1" applyFill="1">
      <alignment horizontal="left" vertical="top" wrapText="1" indent="1"/>
    </xf>
    <xf numFmtId="0" fontId="27" fillId="24" borderId="23" xfId="17" applyFont="1" applyFill="1" applyBorder="1" applyAlignment="1">
      <alignment horizontal="left" vertical="center" wrapText="1"/>
    </xf>
    <xf numFmtId="0" fontId="34" fillId="0" borderId="0" xfId="0" applyFont="1" applyAlignment="1">
      <alignment vertical="center" wrapText="1"/>
    </xf>
    <xf numFmtId="0" fontId="34" fillId="0" borderId="18" xfId="0" applyFont="1" applyBorder="1" applyAlignment="1">
      <alignment vertical="center" wrapText="1"/>
    </xf>
    <xf numFmtId="0" fontId="17" fillId="17" borderId="0" xfId="17" applyFill="1" applyAlignment="1">
      <alignment horizontal="center" vertical="center" wrapText="1"/>
    </xf>
    <xf numFmtId="0" fontId="17" fillId="17" borderId="0" xfId="17" applyFill="1" applyAlignment="1">
      <alignment vertical="top"/>
    </xf>
    <xf numFmtId="0" fontId="17" fillId="17" borderId="0" xfId="17" applyFill="1" applyAlignment="1">
      <alignment vertical="top" wrapText="1"/>
    </xf>
    <xf numFmtId="0" fontId="28" fillId="0" borderId="29" xfId="0" applyFont="1" applyBorder="1" applyAlignment="1">
      <alignment horizontal="left" vertical="center" wrapText="1"/>
    </xf>
    <xf numFmtId="0" fontId="22" fillId="0" borderId="29" xfId="0" applyFont="1" applyBorder="1" applyAlignment="1">
      <alignment horizontal="left" vertical="center" wrapText="1"/>
    </xf>
    <xf numFmtId="0" fontId="7" fillId="0" borderId="0" xfId="2">
      <alignment horizontal="left" indent="3"/>
    </xf>
    <xf numFmtId="0" fontId="1" fillId="0" borderId="0" xfId="7" applyNumberFormat="1">
      <alignment horizontal="left" vertical="top" wrapText="1" indent="1"/>
    </xf>
    <xf numFmtId="165" fontId="0" fillId="0" borderId="8" xfId="8" applyFont="1">
      <alignment horizontal="left" vertical="center" wrapText="1" indent="1"/>
    </xf>
    <xf numFmtId="165" fontId="11" fillId="0" borderId="8" xfId="8">
      <alignment horizontal="left" vertical="center" wrapText="1" indent="1"/>
    </xf>
    <xf numFmtId="0" fontId="1" fillId="0" borderId="5" xfId="7" applyNumberFormat="1" applyBorder="1">
      <alignment horizontal="left" vertical="top" wrapText="1" indent="1"/>
    </xf>
    <xf numFmtId="0" fontId="17" fillId="17" borderId="19" xfId="17" applyFill="1" applyBorder="1" applyAlignment="1">
      <alignment horizontal="left"/>
    </xf>
    <xf numFmtId="0" fontId="17" fillId="17" borderId="20" xfId="17" applyFill="1" applyBorder="1" applyAlignment="1">
      <alignment horizontal="left"/>
    </xf>
    <xf numFmtId="0" fontId="17" fillId="0" borderId="14" xfId="17" applyBorder="1" applyAlignment="1">
      <alignment horizontal="center"/>
    </xf>
    <xf numFmtId="0" fontId="17" fillId="0" borderId="21" xfId="17" applyBorder="1" applyAlignment="1">
      <alignment horizontal="center"/>
    </xf>
    <xf numFmtId="0" fontId="17" fillId="0" borderId="18" xfId="17" applyBorder="1" applyAlignment="1">
      <alignment horizontal="center"/>
    </xf>
    <xf numFmtId="0" fontId="17" fillId="0" borderId="15" xfId="17" applyBorder="1" applyAlignment="1">
      <alignment horizontal="center"/>
    </xf>
    <xf numFmtId="0" fontId="17" fillId="0" borderId="16" xfId="17" applyBorder="1" applyAlignment="1">
      <alignment horizontal="center"/>
    </xf>
    <xf numFmtId="0" fontId="17" fillId="0" borderId="17" xfId="17" applyBorder="1" applyAlignment="1">
      <alignment horizontal="center"/>
    </xf>
    <xf numFmtId="0" fontId="35" fillId="0" borderId="14" xfId="17" applyFont="1" applyBorder="1" applyAlignment="1">
      <alignment horizontal="center"/>
    </xf>
    <xf numFmtId="0" fontId="35" fillId="0" borderId="21" xfId="17" applyFont="1" applyBorder="1" applyAlignment="1">
      <alignment horizontal="center"/>
    </xf>
    <xf numFmtId="0" fontId="35" fillId="0" borderId="18" xfId="17" applyFont="1" applyBorder="1" applyAlignment="1">
      <alignment horizontal="center"/>
    </xf>
    <xf numFmtId="0" fontId="35" fillId="0" borderId="15" xfId="17" applyFont="1" applyBorder="1" applyAlignment="1">
      <alignment horizontal="center"/>
    </xf>
    <xf numFmtId="0" fontId="35" fillId="0" borderId="16" xfId="17" applyFont="1" applyBorder="1" applyAlignment="1">
      <alignment horizontal="center"/>
    </xf>
    <xf numFmtId="0" fontId="35" fillId="0" borderId="17" xfId="17" applyFont="1" applyBorder="1" applyAlignment="1">
      <alignment horizontal="center"/>
    </xf>
    <xf numFmtId="0" fontId="17" fillId="21" borderId="19" xfId="17" applyFill="1" applyBorder="1" applyAlignment="1">
      <alignment horizontal="left"/>
    </xf>
    <xf numFmtId="0" fontId="17" fillId="21" borderId="20" xfId="17" applyFill="1" applyBorder="1" applyAlignment="1">
      <alignment horizontal="left"/>
    </xf>
  </cellXfs>
  <cellStyles count="19">
    <cellStyle name="40% - Accent1" xfId="1" builtinId="31" customBuiltin="1"/>
    <cellStyle name="Accent1" xfId="3" builtinId="29" customBuiltin="1"/>
    <cellStyle name="Accent5" xfId="4" builtinId="45" customBuiltin="1"/>
    <cellStyle name="Day" xfId="5" xr:uid="{00000000-0005-0000-0000-000003000000}"/>
    <cellStyle name="Day Detail" xfId="6" xr:uid="{00000000-0005-0000-0000-000004000000}"/>
    <cellStyle name="Explanatory Text" xfId="14" builtinId="53" customBuiltin="1"/>
    <cellStyle name="Heading 1" xfId="2" builtinId="16" customBuiltin="1"/>
    <cellStyle name="Heading 2" xfId="10" builtinId="17" customBuiltin="1"/>
    <cellStyle name="Heading 3" xfId="11" builtinId="18" customBuiltin="1"/>
    <cellStyle name="Heading 4" xfId="12" builtinId="19" customBuiltin="1"/>
    <cellStyle name="Neutral" xfId="16" builtinId="28"/>
    <cellStyle name="Normal" xfId="0" builtinId="0" customBuiltin="1"/>
    <cellStyle name="Normal 2" xfId="17" xr:uid="{00000000-0005-0000-0000-00000C000000}"/>
    <cellStyle name="Note" xfId="13" builtinId="10" customBuiltin="1"/>
    <cellStyle name="Notes" xfId="7" xr:uid="{00000000-0005-0000-0000-00000E000000}"/>
    <cellStyle name="Notes Header" xfId="8" xr:uid="{00000000-0005-0000-0000-00000F000000}"/>
    <cellStyle name="Percent 2" xfId="18" xr:uid="{00000000-0005-0000-0000-000010000000}"/>
    <cellStyle name="Title" xfId="9" builtinId="15" customBuiltin="1"/>
    <cellStyle name="Total" xfId="15" builtinId="25" customBuiltin="1"/>
  </cellStyles>
  <dxfs count="179">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1120140</xdr:colOff>
      <xdr:row>23</xdr:row>
      <xdr:rowOff>7620</xdr:rowOff>
    </xdr:from>
    <xdr:to>
      <xdr:col>7</xdr:col>
      <xdr:colOff>502920</xdr:colOff>
      <xdr:row>23</xdr:row>
      <xdr:rowOff>617220</xdr:rowOff>
    </xdr:to>
    <xdr:pic>
      <xdr:nvPicPr>
        <xdr:cNvPr id="2" name="Picture 1" descr="cid:image001.png@01D8DBB5.1A1559C0">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41720" y="10576560"/>
          <a:ext cx="180594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0</xdr:row>
      <xdr:rowOff>0</xdr:rowOff>
    </xdr:from>
    <xdr:to>
      <xdr:col>7</xdr:col>
      <xdr:colOff>594360</xdr:colOff>
      <xdr:row>0</xdr:row>
      <xdr:rowOff>647700</xdr:rowOff>
    </xdr:to>
    <xdr:pic>
      <xdr:nvPicPr>
        <xdr:cNvPr id="3" name="Picture 2" descr="cid:image001.png@01D8DBB5.1A1559C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3160" y="0"/>
          <a:ext cx="180594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42</xdr:row>
      <xdr:rowOff>0</xdr:rowOff>
    </xdr:from>
    <xdr:to>
      <xdr:col>7</xdr:col>
      <xdr:colOff>594360</xdr:colOff>
      <xdr:row>42</xdr:row>
      <xdr:rowOff>609600</xdr:rowOff>
    </xdr:to>
    <xdr:pic>
      <xdr:nvPicPr>
        <xdr:cNvPr id="4" name="Picture 3" descr="cid:image001.png@01D8DBB5.1A1559C0">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3160" y="18729960"/>
          <a:ext cx="180594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62</xdr:row>
      <xdr:rowOff>0</xdr:rowOff>
    </xdr:from>
    <xdr:to>
      <xdr:col>7</xdr:col>
      <xdr:colOff>594360</xdr:colOff>
      <xdr:row>62</xdr:row>
      <xdr:rowOff>609600</xdr:rowOff>
    </xdr:to>
    <xdr:pic>
      <xdr:nvPicPr>
        <xdr:cNvPr id="5" name="Picture 4" descr="cid:image001.png@01D8DBB5.1A1559C0">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3160" y="27813000"/>
          <a:ext cx="180594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82</xdr:row>
      <xdr:rowOff>0</xdr:rowOff>
    </xdr:from>
    <xdr:to>
      <xdr:col>7</xdr:col>
      <xdr:colOff>594360</xdr:colOff>
      <xdr:row>82</xdr:row>
      <xdr:rowOff>609600</xdr:rowOff>
    </xdr:to>
    <xdr:pic>
      <xdr:nvPicPr>
        <xdr:cNvPr id="6" name="Picture 5" descr="cid:image001.png@01D8DBB5.1A1559C0">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3160" y="35303460"/>
          <a:ext cx="180594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101</xdr:row>
      <xdr:rowOff>0</xdr:rowOff>
    </xdr:from>
    <xdr:to>
      <xdr:col>7</xdr:col>
      <xdr:colOff>594360</xdr:colOff>
      <xdr:row>101</xdr:row>
      <xdr:rowOff>609600</xdr:rowOff>
    </xdr:to>
    <xdr:pic>
      <xdr:nvPicPr>
        <xdr:cNvPr id="7" name="Picture 6" descr="cid:image001.png@01D8DBB5.1A1559C0">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3160" y="42793920"/>
          <a:ext cx="180594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122</xdr:row>
      <xdr:rowOff>0</xdr:rowOff>
    </xdr:from>
    <xdr:to>
      <xdr:col>7</xdr:col>
      <xdr:colOff>594360</xdr:colOff>
      <xdr:row>122</xdr:row>
      <xdr:rowOff>609600</xdr:rowOff>
    </xdr:to>
    <xdr:pic>
      <xdr:nvPicPr>
        <xdr:cNvPr id="8" name="Picture 7" descr="cid:image001.png@01D8DBB5.1A1559C0">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3160" y="50284380"/>
          <a:ext cx="180594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141</xdr:row>
      <xdr:rowOff>0</xdr:rowOff>
    </xdr:from>
    <xdr:to>
      <xdr:col>7</xdr:col>
      <xdr:colOff>594360</xdr:colOff>
      <xdr:row>141</xdr:row>
      <xdr:rowOff>609600</xdr:rowOff>
    </xdr:to>
    <xdr:pic>
      <xdr:nvPicPr>
        <xdr:cNvPr id="9" name="Picture 8" descr="cid:image001.png@01D8DBB5.1A1559C0">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3160" y="57774840"/>
          <a:ext cx="180594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160</xdr:row>
      <xdr:rowOff>0</xdr:rowOff>
    </xdr:from>
    <xdr:to>
      <xdr:col>7</xdr:col>
      <xdr:colOff>594360</xdr:colOff>
      <xdr:row>160</xdr:row>
      <xdr:rowOff>609600</xdr:rowOff>
    </xdr:to>
    <xdr:pic>
      <xdr:nvPicPr>
        <xdr:cNvPr id="10" name="Picture 9" descr="cid:image001.png@01D8DBB5.1A1559C0">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3160" y="65265300"/>
          <a:ext cx="180594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179</xdr:row>
      <xdr:rowOff>0</xdr:rowOff>
    </xdr:from>
    <xdr:to>
      <xdr:col>7</xdr:col>
      <xdr:colOff>594360</xdr:colOff>
      <xdr:row>179</xdr:row>
      <xdr:rowOff>609600</xdr:rowOff>
    </xdr:to>
    <xdr:pic>
      <xdr:nvPicPr>
        <xdr:cNvPr id="11" name="Picture 10" descr="cid:image001.png@01D8DBB5.1A1559C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3160" y="72755760"/>
          <a:ext cx="180594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200</xdr:row>
      <xdr:rowOff>0</xdr:rowOff>
    </xdr:from>
    <xdr:to>
      <xdr:col>7</xdr:col>
      <xdr:colOff>594360</xdr:colOff>
      <xdr:row>200</xdr:row>
      <xdr:rowOff>609600</xdr:rowOff>
    </xdr:to>
    <xdr:pic>
      <xdr:nvPicPr>
        <xdr:cNvPr id="12" name="Picture 11" descr="cid:image001.png@01D8DBB5.1A1559C0">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3160" y="80246220"/>
          <a:ext cx="180594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221</xdr:row>
      <xdr:rowOff>0</xdr:rowOff>
    </xdr:from>
    <xdr:to>
      <xdr:col>7</xdr:col>
      <xdr:colOff>594360</xdr:colOff>
      <xdr:row>221</xdr:row>
      <xdr:rowOff>609600</xdr:rowOff>
    </xdr:to>
    <xdr:pic>
      <xdr:nvPicPr>
        <xdr:cNvPr id="13" name="Picture 12" descr="cid:image001.png@01D8DBB5.1A1559C0">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3160" y="87736680"/>
          <a:ext cx="180594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Academic Calendar">
      <a:dk1>
        <a:srgbClr val="000000"/>
      </a:dk1>
      <a:lt1>
        <a:srgbClr val="FFFFFF"/>
      </a:lt1>
      <a:dk2>
        <a:srgbClr val="616668"/>
      </a:dk2>
      <a:lt2>
        <a:srgbClr val="F8F8F9"/>
      </a:lt2>
      <a:accent1>
        <a:srgbClr val="329E95"/>
      </a:accent1>
      <a:accent2>
        <a:srgbClr val="F4812B"/>
      </a:accent2>
      <a:accent3>
        <a:srgbClr val="EDB000"/>
      </a:accent3>
      <a:accent4>
        <a:srgbClr val="79B142"/>
      </a:accent4>
      <a:accent5>
        <a:srgbClr val="E34742"/>
      </a:accent5>
      <a:accent6>
        <a:srgbClr val="6D426F"/>
      </a:accent6>
      <a:hlink>
        <a:srgbClr val="2388CF"/>
      </a:hlink>
      <a:folHlink>
        <a:srgbClr val="6D426F"/>
      </a:folHlink>
    </a:clrScheme>
    <a:fontScheme name="Custom 2">
      <a:majorFont>
        <a:latin typeface="Arial"/>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9"/>
  <sheetViews>
    <sheetView topLeftCell="A67" workbookViewId="0">
      <selection activeCell="B4" sqref="B4"/>
    </sheetView>
  </sheetViews>
  <sheetFormatPr defaultRowHeight="16.5" x14ac:dyDescent="0.3"/>
  <cols>
    <col min="1" max="1" width="5.75" customWidth="1"/>
    <col min="2" max="2" width="12.25" customWidth="1"/>
    <col min="3" max="3" width="13.875" customWidth="1"/>
    <col min="4" max="4" width="18.625" customWidth="1"/>
    <col min="5" max="5" width="13.625" customWidth="1"/>
    <col min="6" max="6" width="36.5" customWidth="1"/>
    <col min="7" max="7" width="6.25" customWidth="1"/>
    <col min="8" max="8" width="10.25" customWidth="1"/>
    <col min="9" max="9" width="5" bestFit="1" customWidth="1"/>
    <col min="10" max="10" width="8.75" customWidth="1"/>
    <col min="11" max="22" width="4.875" bestFit="1" customWidth="1"/>
    <col min="30" max="30" width="7.75" customWidth="1"/>
  </cols>
  <sheetData>
    <row r="1" spans="1:22" ht="79.150000000000006" customHeight="1" x14ac:dyDescent="0.3">
      <c r="A1" s="153" t="s">
        <v>35</v>
      </c>
      <c r="B1" s="154"/>
      <c r="C1" s="154"/>
      <c r="D1" s="154"/>
      <c r="E1" s="154"/>
      <c r="F1" s="154"/>
      <c r="G1" s="154"/>
      <c r="H1" s="154"/>
      <c r="I1" s="154"/>
      <c r="J1" s="154"/>
      <c r="K1" s="154"/>
      <c r="L1" s="154"/>
      <c r="M1" s="154"/>
      <c r="N1" s="154"/>
      <c r="O1" s="154"/>
      <c r="P1" s="154"/>
      <c r="Q1" s="154"/>
      <c r="R1" s="154"/>
      <c r="S1" s="154"/>
      <c r="T1" s="154"/>
      <c r="U1" s="154"/>
      <c r="V1" s="154"/>
    </row>
    <row r="2" spans="1:22" ht="54.75" x14ac:dyDescent="0.3">
      <c r="A2" s="40" t="s">
        <v>36</v>
      </c>
      <c r="B2" s="41" t="s">
        <v>37</v>
      </c>
      <c r="C2" s="41" t="s">
        <v>38</v>
      </c>
      <c r="D2" s="42" t="s">
        <v>39</v>
      </c>
      <c r="E2" s="42" t="s">
        <v>40</v>
      </c>
      <c r="F2" s="42" t="s">
        <v>41</v>
      </c>
      <c r="G2" s="40" t="s">
        <v>42</v>
      </c>
      <c r="H2" s="40" t="s">
        <v>43</v>
      </c>
      <c r="I2" s="40" t="s">
        <v>44</v>
      </c>
      <c r="J2" s="42" t="s">
        <v>45</v>
      </c>
      <c r="K2" s="42" t="s">
        <v>46</v>
      </c>
      <c r="L2" s="42" t="s">
        <v>47</v>
      </c>
      <c r="M2" s="42" t="s">
        <v>48</v>
      </c>
      <c r="N2" s="42" t="s">
        <v>49</v>
      </c>
      <c r="O2" s="42" t="s">
        <v>50</v>
      </c>
      <c r="P2" s="42" t="s">
        <v>51</v>
      </c>
      <c r="Q2" s="42" t="s">
        <v>52</v>
      </c>
      <c r="R2" s="42" t="s">
        <v>53</v>
      </c>
      <c r="S2" s="42" t="s">
        <v>54</v>
      </c>
      <c r="T2" s="42" t="s">
        <v>55</v>
      </c>
      <c r="U2" s="42" t="s">
        <v>56</v>
      </c>
      <c r="V2" s="42" t="s">
        <v>57</v>
      </c>
    </row>
    <row r="3" spans="1:22" x14ac:dyDescent="0.3">
      <c r="A3" s="43"/>
      <c r="B3" s="16"/>
      <c r="C3" s="17" t="s">
        <v>58</v>
      </c>
      <c r="D3" s="44"/>
      <c r="E3" s="44"/>
      <c r="F3" s="44"/>
      <c r="G3" s="18"/>
      <c r="H3" s="19"/>
      <c r="I3" s="19"/>
      <c r="J3" s="19"/>
      <c r="K3" s="20"/>
      <c r="L3" s="20"/>
      <c r="M3" s="20"/>
      <c r="N3" s="20"/>
      <c r="O3" s="45"/>
      <c r="P3" s="45"/>
      <c r="Q3" s="45"/>
      <c r="R3" s="21"/>
      <c r="S3" s="45"/>
      <c r="T3" s="44"/>
      <c r="U3" s="46"/>
      <c r="V3" s="46"/>
    </row>
    <row r="4" spans="1:22" ht="135" x14ac:dyDescent="0.3">
      <c r="A4" s="47">
        <v>1</v>
      </c>
      <c r="B4" s="48" t="s">
        <v>59</v>
      </c>
      <c r="C4" s="48" t="s">
        <v>60</v>
      </c>
      <c r="D4" s="48" t="s">
        <v>61</v>
      </c>
      <c r="E4" s="49" t="s">
        <v>62</v>
      </c>
      <c r="F4" s="49" t="s">
        <v>63</v>
      </c>
      <c r="G4" s="47">
        <v>99</v>
      </c>
      <c r="H4" s="47" t="s">
        <v>64</v>
      </c>
      <c r="I4" s="47">
        <v>2</v>
      </c>
      <c r="J4" s="22">
        <f>IF(I4=0.5,G4,I4*G4)</f>
        <v>198</v>
      </c>
      <c r="K4" s="50">
        <v>0</v>
      </c>
      <c r="L4" s="50"/>
      <c r="M4" s="50"/>
      <c r="N4" s="50">
        <v>33</v>
      </c>
      <c r="O4" s="50">
        <v>33</v>
      </c>
      <c r="P4" s="51">
        <v>33</v>
      </c>
      <c r="Q4" s="50"/>
      <c r="R4" s="50"/>
      <c r="S4" s="50"/>
      <c r="T4" s="50">
        <v>33</v>
      </c>
      <c r="U4" s="50">
        <v>33</v>
      </c>
      <c r="V4" s="51">
        <v>33</v>
      </c>
    </row>
    <row r="5" spans="1:22" ht="120" x14ac:dyDescent="0.3">
      <c r="A5" s="47">
        <v>2</v>
      </c>
      <c r="B5" s="48" t="s">
        <v>59</v>
      </c>
      <c r="C5" s="48" t="s">
        <v>60</v>
      </c>
      <c r="D5" s="48" t="s">
        <v>61</v>
      </c>
      <c r="E5" s="49" t="s">
        <v>65</v>
      </c>
      <c r="F5" s="49" t="s">
        <v>66</v>
      </c>
      <c r="G5" s="47">
        <v>99</v>
      </c>
      <c r="H5" s="47" t="s">
        <v>64</v>
      </c>
      <c r="I5" s="47">
        <v>1</v>
      </c>
      <c r="J5" s="22">
        <f>IF(I5=0.5,G5,I5*G5)</f>
        <v>99</v>
      </c>
      <c r="K5" s="50">
        <v>0</v>
      </c>
      <c r="L5" s="50">
        <v>0</v>
      </c>
      <c r="M5" s="50">
        <v>0</v>
      </c>
      <c r="N5" s="50">
        <v>0</v>
      </c>
      <c r="O5" s="50">
        <v>0</v>
      </c>
      <c r="P5" s="50">
        <v>0</v>
      </c>
      <c r="Q5" s="50">
        <v>0</v>
      </c>
      <c r="R5" s="50">
        <v>0</v>
      </c>
      <c r="S5" s="50">
        <v>0</v>
      </c>
      <c r="T5" s="51">
        <v>99</v>
      </c>
      <c r="U5" s="50">
        <v>0</v>
      </c>
      <c r="V5" s="50">
        <v>0</v>
      </c>
    </row>
    <row r="6" spans="1:22" ht="45" x14ac:dyDescent="0.3">
      <c r="A6" s="47">
        <v>3</v>
      </c>
      <c r="B6" s="48" t="s">
        <v>59</v>
      </c>
      <c r="C6" s="48" t="s">
        <v>60</v>
      </c>
      <c r="D6" s="48" t="s">
        <v>61</v>
      </c>
      <c r="E6" s="49" t="s">
        <v>67</v>
      </c>
      <c r="F6" s="49" t="s">
        <v>68</v>
      </c>
      <c r="G6" s="47">
        <v>108</v>
      </c>
      <c r="H6" s="47" t="s">
        <v>69</v>
      </c>
      <c r="I6" s="47">
        <v>1</v>
      </c>
      <c r="J6" s="22">
        <v>108</v>
      </c>
      <c r="K6" s="50">
        <v>0</v>
      </c>
      <c r="L6" s="50">
        <v>0</v>
      </c>
      <c r="M6" s="50">
        <v>0</v>
      </c>
      <c r="N6" s="50">
        <v>0</v>
      </c>
      <c r="O6" s="50">
        <v>0</v>
      </c>
      <c r="P6" s="50">
        <v>0</v>
      </c>
      <c r="Q6" s="50">
        <v>0</v>
      </c>
      <c r="R6" s="50">
        <v>0</v>
      </c>
      <c r="S6" s="50">
        <v>0</v>
      </c>
      <c r="T6" s="50">
        <v>0</v>
      </c>
      <c r="U6" s="51">
        <v>108</v>
      </c>
      <c r="V6" s="50">
        <v>0</v>
      </c>
    </row>
    <row r="7" spans="1:22" ht="30" x14ac:dyDescent="0.3">
      <c r="A7" s="47">
        <v>4</v>
      </c>
      <c r="B7" s="48" t="s">
        <v>59</v>
      </c>
      <c r="C7" s="48" t="s">
        <v>60</v>
      </c>
      <c r="D7" s="48" t="s">
        <v>61</v>
      </c>
      <c r="E7" s="49" t="s">
        <v>70</v>
      </c>
      <c r="F7" s="49" t="s">
        <v>71</v>
      </c>
      <c r="G7" s="47">
        <v>10</v>
      </c>
      <c r="H7" s="47" t="s">
        <v>72</v>
      </c>
      <c r="I7" s="47">
        <v>1</v>
      </c>
      <c r="J7" s="22">
        <f>IF(I7=0.5,G7,I7*G7)</f>
        <v>10</v>
      </c>
      <c r="K7" s="50">
        <v>0</v>
      </c>
      <c r="L7" s="50">
        <v>0</v>
      </c>
      <c r="M7" s="50">
        <v>0</v>
      </c>
      <c r="N7" s="50">
        <v>0</v>
      </c>
      <c r="O7" s="50">
        <v>0</v>
      </c>
      <c r="P7" s="50">
        <v>0</v>
      </c>
      <c r="Q7" s="50">
        <v>0</v>
      </c>
      <c r="R7" s="50">
        <v>0</v>
      </c>
      <c r="S7" s="50">
        <v>0</v>
      </c>
      <c r="T7" s="50">
        <v>0</v>
      </c>
      <c r="U7" s="51">
        <v>10</v>
      </c>
      <c r="V7" s="50">
        <v>0</v>
      </c>
    </row>
    <row r="8" spans="1:22" ht="30" x14ac:dyDescent="0.3">
      <c r="A8" s="47">
        <v>5</v>
      </c>
      <c r="B8" s="48" t="s">
        <v>59</v>
      </c>
      <c r="C8" s="48" t="s">
        <v>60</v>
      </c>
      <c r="D8" s="48" t="s">
        <v>61</v>
      </c>
      <c r="E8" s="49" t="s">
        <v>73</v>
      </c>
      <c r="F8" s="49" t="s">
        <v>74</v>
      </c>
      <c r="G8" s="47">
        <v>99</v>
      </c>
      <c r="H8" s="47" t="s">
        <v>64</v>
      </c>
      <c r="I8" s="52" t="s">
        <v>75</v>
      </c>
      <c r="J8" s="22">
        <v>99</v>
      </c>
      <c r="K8" s="50">
        <v>0</v>
      </c>
      <c r="L8" s="50">
        <v>0</v>
      </c>
      <c r="M8" s="50">
        <v>0</v>
      </c>
      <c r="N8" s="50">
        <v>0</v>
      </c>
      <c r="O8" s="51">
        <v>99</v>
      </c>
      <c r="P8" s="51">
        <v>0</v>
      </c>
      <c r="Q8" s="51">
        <v>0</v>
      </c>
      <c r="R8" s="51">
        <v>0</v>
      </c>
      <c r="S8" s="51">
        <v>99</v>
      </c>
      <c r="T8" s="50">
        <v>0</v>
      </c>
      <c r="U8" s="50">
        <v>0</v>
      </c>
      <c r="V8" s="50">
        <v>0</v>
      </c>
    </row>
    <row r="9" spans="1:22" x14ac:dyDescent="0.3">
      <c r="A9" s="43"/>
      <c r="B9" s="16"/>
      <c r="C9" s="17" t="s">
        <v>76</v>
      </c>
      <c r="D9" s="44"/>
      <c r="E9" s="23"/>
      <c r="F9" s="23"/>
      <c r="G9" s="23"/>
      <c r="H9" s="23"/>
      <c r="I9" s="23"/>
      <c r="J9" s="23"/>
      <c r="K9" s="23"/>
      <c r="L9" s="23"/>
      <c r="M9" s="23"/>
      <c r="N9" s="23"/>
      <c r="O9" s="53"/>
      <c r="P9" s="53"/>
      <c r="Q9" s="53"/>
      <c r="R9" s="24"/>
      <c r="S9" s="53"/>
      <c r="T9" s="54"/>
      <c r="U9" s="54"/>
      <c r="V9" s="21"/>
    </row>
    <row r="10" spans="1:22" ht="60" x14ac:dyDescent="0.3">
      <c r="A10" s="47">
        <v>6</v>
      </c>
      <c r="B10" s="55" t="s">
        <v>77</v>
      </c>
      <c r="C10" s="49" t="s">
        <v>60</v>
      </c>
      <c r="D10" s="49" t="s">
        <v>78</v>
      </c>
      <c r="E10" s="49" t="s">
        <v>79</v>
      </c>
      <c r="F10" s="49" t="s">
        <v>80</v>
      </c>
      <c r="G10" s="56">
        <v>99</v>
      </c>
      <c r="H10" s="56" t="s">
        <v>64</v>
      </c>
      <c r="I10" s="47">
        <v>2</v>
      </c>
      <c r="J10" s="22">
        <f>IF(I10=0.5,G10,I10*G10)</f>
        <v>198</v>
      </c>
      <c r="K10" s="50"/>
      <c r="L10" s="50"/>
      <c r="M10" s="50"/>
      <c r="N10" s="50"/>
      <c r="O10" s="50"/>
      <c r="P10" s="50">
        <v>99</v>
      </c>
      <c r="Q10" s="50"/>
      <c r="R10" s="50"/>
      <c r="S10" s="50"/>
      <c r="T10" s="50">
        <v>99</v>
      </c>
      <c r="U10" s="50"/>
      <c r="V10" s="50"/>
    </row>
    <row r="11" spans="1:22" ht="180" x14ac:dyDescent="0.3">
      <c r="A11" s="47">
        <v>7</v>
      </c>
      <c r="B11" s="55" t="s">
        <v>77</v>
      </c>
      <c r="C11" s="49" t="s">
        <v>60</v>
      </c>
      <c r="D11" s="49" t="s">
        <v>78</v>
      </c>
      <c r="E11" s="49" t="s">
        <v>81</v>
      </c>
      <c r="F11" s="49" t="s">
        <v>82</v>
      </c>
      <c r="G11" s="56">
        <v>99</v>
      </c>
      <c r="H11" s="56" t="s">
        <v>64</v>
      </c>
      <c r="I11" s="47">
        <v>1</v>
      </c>
      <c r="J11" s="22">
        <f>IF(I11=0.5,G11,I11*G11)</f>
        <v>99</v>
      </c>
      <c r="K11" s="50">
        <v>0</v>
      </c>
      <c r="L11" s="50">
        <v>0</v>
      </c>
      <c r="M11" s="50">
        <v>0</v>
      </c>
      <c r="N11" s="50">
        <v>0</v>
      </c>
      <c r="O11" s="50">
        <v>33</v>
      </c>
      <c r="P11" s="50">
        <v>33</v>
      </c>
      <c r="Q11" s="51">
        <v>33</v>
      </c>
      <c r="R11" s="50">
        <v>0</v>
      </c>
      <c r="S11" s="50">
        <v>0</v>
      </c>
      <c r="T11" s="50">
        <v>0</v>
      </c>
      <c r="U11" s="50">
        <v>0</v>
      </c>
      <c r="V11" s="50">
        <v>0</v>
      </c>
    </row>
    <row r="12" spans="1:22" x14ac:dyDescent="0.3">
      <c r="A12" s="43"/>
      <c r="B12" s="16"/>
      <c r="C12" s="17" t="s">
        <v>83</v>
      </c>
      <c r="D12" s="44"/>
      <c r="E12" s="23"/>
      <c r="F12" s="23"/>
      <c r="G12" s="23"/>
      <c r="H12" s="23"/>
      <c r="I12" s="23"/>
      <c r="J12" s="23"/>
      <c r="K12" s="23"/>
      <c r="L12" s="23"/>
      <c r="M12" s="23"/>
      <c r="N12" s="23"/>
      <c r="O12" s="53"/>
      <c r="P12" s="53"/>
      <c r="Q12" s="53"/>
      <c r="R12" s="24"/>
      <c r="S12" s="53"/>
      <c r="T12" s="54"/>
      <c r="U12" s="54"/>
      <c r="V12" s="21"/>
    </row>
    <row r="13" spans="1:22" ht="120" x14ac:dyDescent="0.3">
      <c r="A13" s="47">
        <v>8</v>
      </c>
      <c r="B13" s="55" t="s">
        <v>77</v>
      </c>
      <c r="C13" s="49" t="s">
        <v>84</v>
      </c>
      <c r="D13" s="49" t="s">
        <v>85</v>
      </c>
      <c r="E13" s="48" t="s">
        <v>86</v>
      </c>
      <c r="F13" s="49" t="s">
        <v>87</v>
      </c>
      <c r="G13" s="56">
        <v>99</v>
      </c>
      <c r="H13" s="56" t="s">
        <v>64</v>
      </c>
      <c r="I13" s="57">
        <v>2</v>
      </c>
      <c r="J13" s="22">
        <f>IF(I13=0.5,G13,I13*G13)</f>
        <v>198</v>
      </c>
      <c r="K13" s="50">
        <v>0</v>
      </c>
      <c r="L13" s="50">
        <v>0</v>
      </c>
      <c r="M13" s="50">
        <v>0</v>
      </c>
      <c r="N13" s="50">
        <v>33</v>
      </c>
      <c r="O13" s="50">
        <v>33</v>
      </c>
      <c r="P13" s="50">
        <v>33</v>
      </c>
      <c r="Q13" s="50">
        <v>0</v>
      </c>
      <c r="R13" s="50">
        <v>0</v>
      </c>
      <c r="S13" s="50">
        <v>33</v>
      </c>
      <c r="T13" s="50">
        <v>33</v>
      </c>
      <c r="U13" s="50">
        <v>33</v>
      </c>
      <c r="V13" s="50">
        <v>0</v>
      </c>
    </row>
    <row r="14" spans="1:22" ht="45" x14ac:dyDescent="0.3">
      <c r="A14" s="47">
        <v>9</v>
      </c>
      <c r="B14" s="55" t="s">
        <v>77</v>
      </c>
      <c r="C14" s="49" t="s">
        <v>84</v>
      </c>
      <c r="D14" s="49" t="s">
        <v>85</v>
      </c>
      <c r="E14" s="48" t="s">
        <v>88</v>
      </c>
      <c r="F14" s="49" t="s">
        <v>89</v>
      </c>
      <c r="G14" s="56">
        <v>99</v>
      </c>
      <c r="H14" s="56" t="s">
        <v>64</v>
      </c>
      <c r="I14" s="57">
        <v>1</v>
      </c>
      <c r="J14" s="22">
        <f>IF(I14=0.5,G14,I14*G14)</f>
        <v>99</v>
      </c>
      <c r="K14" s="50">
        <v>0</v>
      </c>
      <c r="L14" s="50">
        <v>33</v>
      </c>
      <c r="M14" s="50">
        <v>33</v>
      </c>
      <c r="N14" s="50">
        <v>33</v>
      </c>
      <c r="O14" s="50">
        <v>0</v>
      </c>
      <c r="P14" s="50">
        <v>0</v>
      </c>
      <c r="Q14" s="50">
        <v>0</v>
      </c>
      <c r="R14" s="50">
        <v>0</v>
      </c>
      <c r="S14" s="50">
        <v>0</v>
      </c>
      <c r="T14" s="50">
        <v>0</v>
      </c>
      <c r="U14" s="50">
        <v>0</v>
      </c>
      <c r="V14" s="50">
        <v>0</v>
      </c>
    </row>
    <row r="15" spans="1:22" x14ac:dyDescent="0.3">
      <c r="A15" s="43"/>
      <c r="B15" s="16"/>
      <c r="C15" s="17" t="s">
        <v>90</v>
      </c>
      <c r="D15" s="44"/>
      <c r="E15" s="23"/>
      <c r="F15" s="23"/>
      <c r="G15" s="23"/>
      <c r="H15" s="23"/>
      <c r="I15" s="23"/>
      <c r="J15" s="23"/>
      <c r="K15" s="23"/>
      <c r="L15" s="23"/>
      <c r="M15" s="23"/>
      <c r="N15" s="23"/>
      <c r="O15" s="53"/>
      <c r="P15" s="53"/>
      <c r="Q15" s="53"/>
      <c r="R15" s="24"/>
      <c r="S15" s="53"/>
      <c r="T15" s="54"/>
      <c r="U15" s="54"/>
      <c r="V15" s="21"/>
    </row>
    <row r="16" spans="1:22" ht="30" x14ac:dyDescent="0.3">
      <c r="A16" s="47">
        <v>10</v>
      </c>
      <c r="B16" s="55" t="s">
        <v>77</v>
      </c>
      <c r="C16" s="49" t="s">
        <v>91</v>
      </c>
      <c r="D16" s="49" t="s">
        <v>92</v>
      </c>
      <c r="E16" s="49" t="s">
        <v>93</v>
      </c>
      <c r="F16" s="49" t="s">
        <v>94</v>
      </c>
      <c r="G16" s="47">
        <v>99</v>
      </c>
      <c r="H16" s="56" t="s">
        <v>95</v>
      </c>
      <c r="I16" s="57">
        <v>52</v>
      </c>
      <c r="J16" s="22">
        <f>IF(I16=0.5,G16,I16*G16)</f>
        <v>5148</v>
      </c>
      <c r="K16" s="50">
        <f>Y16</f>
        <v>0</v>
      </c>
      <c r="L16" s="50">
        <f>Z16</f>
        <v>0</v>
      </c>
      <c r="M16" s="50">
        <f>Z16</f>
        <v>0</v>
      </c>
      <c r="N16" s="50">
        <f>Y16</f>
        <v>0</v>
      </c>
      <c r="O16" s="50">
        <f>Y16</f>
        <v>0</v>
      </c>
      <c r="P16" s="50">
        <f>Z16</f>
        <v>0</v>
      </c>
      <c r="Q16" s="50">
        <f>Z16</f>
        <v>0</v>
      </c>
      <c r="R16" s="50">
        <f>Z16</f>
        <v>0</v>
      </c>
      <c r="S16" s="50">
        <f>Y16</f>
        <v>0</v>
      </c>
      <c r="T16" s="50">
        <f>Z16</f>
        <v>0</v>
      </c>
      <c r="U16" s="50">
        <f>Z16</f>
        <v>0</v>
      </c>
      <c r="V16" s="50">
        <f>Z16</f>
        <v>0</v>
      </c>
    </row>
    <row r="17" spans="1:22" ht="90" x14ac:dyDescent="0.3">
      <c r="A17" s="47">
        <v>11</v>
      </c>
      <c r="B17" s="55" t="s">
        <v>77</v>
      </c>
      <c r="C17" s="49" t="s">
        <v>91</v>
      </c>
      <c r="D17" s="49" t="s">
        <v>92</v>
      </c>
      <c r="E17" s="49" t="s">
        <v>96</v>
      </c>
      <c r="F17" s="49" t="s">
        <v>97</v>
      </c>
      <c r="G17" s="56">
        <v>99</v>
      </c>
      <c r="H17" s="56" t="s">
        <v>64</v>
      </c>
      <c r="I17" s="47">
        <v>4</v>
      </c>
      <c r="J17" s="22">
        <f>IF(I17=0.5,G17,I17*G17)</f>
        <v>396</v>
      </c>
      <c r="K17" s="50">
        <v>33</v>
      </c>
      <c r="L17" s="50">
        <v>33</v>
      </c>
      <c r="M17" s="51">
        <v>33</v>
      </c>
      <c r="N17" s="50">
        <v>33</v>
      </c>
      <c r="O17" s="50">
        <v>33</v>
      </c>
      <c r="P17" s="51">
        <v>33</v>
      </c>
      <c r="Q17" s="50">
        <v>33</v>
      </c>
      <c r="R17" s="50">
        <v>33</v>
      </c>
      <c r="S17" s="51">
        <v>33</v>
      </c>
      <c r="T17" s="50">
        <v>33</v>
      </c>
      <c r="U17" s="50">
        <v>33</v>
      </c>
      <c r="V17" s="51">
        <v>33</v>
      </c>
    </row>
    <row r="18" spans="1:22" ht="255" x14ac:dyDescent="0.3">
      <c r="A18" s="47">
        <v>12</v>
      </c>
      <c r="B18" s="55" t="s">
        <v>77</v>
      </c>
      <c r="C18" s="49" t="s">
        <v>91</v>
      </c>
      <c r="D18" s="49" t="s">
        <v>92</v>
      </c>
      <c r="E18" s="49" t="s">
        <v>98</v>
      </c>
      <c r="F18" s="49" t="s">
        <v>99</v>
      </c>
      <c r="G18" s="56">
        <v>99</v>
      </c>
      <c r="H18" s="56" t="s">
        <v>64</v>
      </c>
      <c r="I18" s="47">
        <v>2</v>
      </c>
      <c r="J18" s="22">
        <f>IF(I18=0.5,G18,I18*G18)</f>
        <v>198</v>
      </c>
      <c r="K18" s="50"/>
      <c r="L18" s="50"/>
      <c r="M18" s="50"/>
      <c r="N18" s="50">
        <v>33</v>
      </c>
      <c r="O18" s="50">
        <v>33</v>
      </c>
      <c r="P18" s="50">
        <v>33</v>
      </c>
      <c r="Q18" s="50"/>
      <c r="R18" s="50"/>
      <c r="S18" s="50">
        <v>33</v>
      </c>
      <c r="T18" s="50">
        <v>33</v>
      </c>
      <c r="U18" s="51">
        <v>33</v>
      </c>
      <c r="V18" s="50">
        <v>0</v>
      </c>
    </row>
    <row r="19" spans="1:22" ht="180" x14ac:dyDescent="0.3">
      <c r="A19" s="47">
        <v>13</v>
      </c>
      <c r="B19" s="55" t="s">
        <v>77</v>
      </c>
      <c r="C19" s="49" t="s">
        <v>91</v>
      </c>
      <c r="D19" s="49" t="s">
        <v>92</v>
      </c>
      <c r="E19" s="49" t="s">
        <v>100</v>
      </c>
      <c r="F19" s="49" t="s">
        <v>101</v>
      </c>
      <c r="G19" s="56">
        <v>99</v>
      </c>
      <c r="H19" s="56" t="s">
        <v>64</v>
      </c>
      <c r="I19" s="47">
        <v>1</v>
      </c>
      <c r="J19" s="22">
        <f>IF(I19=0.5,G19,I19*G19)</f>
        <v>99</v>
      </c>
      <c r="K19" s="50">
        <v>33</v>
      </c>
      <c r="L19" s="50">
        <v>33</v>
      </c>
      <c r="M19" s="50">
        <v>33</v>
      </c>
      <c r="N19" s="50">
        <v>0</v>
      </c>
      <c r="O19" s="50">
        <v>0</v>
      </c>
      <c r="P19" s="50">
        <v>0</v>
      </c>
      <c r="Q19" s="50">
        <v>0</v>
      </c>
      <c r="R19" s="50">
        <v>0</v>
      </c>
      <c r="S19" s="50">
        <v>0</v>
      </c>
      <c r="T19" s="50">
        <v>0</v>
      </c>
      <c r="U19" s="50">
        <v>0</v>
      </c>
      <c r="V19" s="50">
        <v>0</v>
      </c>
    </row>
    <row r="20" spans="1:22" x14ac:dyDescent="0.3">
      <c r="A20" s="43"/>
      <c r="B20" s="16"/>
      <c r="C20" s="17" t="s">
        <v>102</v>
      </c>
      <c r="D20" s="44"/>
      <c r="E20" s="23"/>
      <c r="F20" s="23"/>
      <c r="G20" s="23"/>
      <c r="H20" s="23"/>
      <c r="I20" s="23"/>
      <c r="J20" s="23"/>
      <c r="K20" s="23"/>
      <c r="L20" s="23"/>
      <c r="M20" s="23"/>
      <c r="N20" s="23"/>
      <c r="O20" s="53"/>
      <c r="P20" s="53"/>
      <c r="Q20" s="53"/>
      <c r="R20" s="54"/>
      <c r="S20" s="53"/>
      <c r="T20" s="54"/>
      <c r="U20" s="54"/>
      <c r="V20" s="46"/>
    </row>
    <row r="21" spans="1:22" ht="45" x14ac:dyDescent="0.3">
      <c r="A21" s="58">
        <v>14</v>
      </c>
      <c r="B21" s="59" t="s">
        <v>59</v>
      </c>
      <c r="C21" s="60" t="s">
        <v>103</v>
      </c>
      <c r="D21" s="60" t="s">
        <v>104</v>
      </c>
      <c r="E21" s="60" t="s">
        <v>105</v>
      </c>
      <c r="F21" s="60" t="s">
        <v>106</v>
      </c>
      <c r="G21" s="61">
        <v>99</v>
      </c>
      <c r="H21" s="62" t="s">
        <v>64</v>
      </c>
      <c r="I21" s="58">
        <v>52</v>
      </c>
      <c r="J21" s="25">
        <f>IF(I21=0.5,G21,I21*G21)</f>
        <v>5148</v>
      </c>
      <c r="K21" s="63">
        <v>396</v>
      </c>
      <c r="L21" s="63">
        <v>396</v>
      </c>
      <c r="M21" s="63">
        <v>495</v>
      </c>
      <c r="N21" s="63">
        <v>396</v>
      </c>
      <c r="O21" s="63">
        <v>396</v>
      </c>
      <c r="P21" s="63">
        <v>495</v>
      </c>
      <c r="Q21" s="63">
        <v>396</v>
      </c>
      <c r="R21" s="63">
        <v>495</v>
      </c>
      <c r="S21" s="63">
        <v>396</v>
      </c>
      <c r="T21" s="63">
        <v>396</v>
      </c>
      <c r="U21" s="63">
        <v>495</v>
      </c>
      <c r="V21" s="63">
        <v>396</v>
      </c>
    </row>
    <row r="22" spans="1:22" ht="135" x14ac:dyDescent="0.3">
      <c r="A22" s="58">
        <v>15</v>
      </c>
      <c r="B22" s="59" t="s">
        <v>59</v>
      </c>
      <c r="C22" s="60" t="s">
        <v>103</v>
      </c>
      <c r="D22" s="60" t="s">
        <v>104</v>
      </c>
      <c r="E22" s="60" t="s">
        <v>107</v>
      </c>
      <c r="F22" s="60" t="s">
        <v>108</v>
      </c>
      <c r="G22" s="61">
        <v>99</v>
      </c>
      <c r="H22" s="62" t="s">
        <v>64</v>
      </c>
      <c r="I22" s="58">
        <v>4</v>
      </c>
      <c r="J22" s="25">
        <f>IF(I22=0.5,G22,I22*G22)</f>
        <v>396</v>
      </c>
      <c r="K22" s="64">
        <v>33</v>
      </c>
      <c r="L22" s="64">
        <v>33</v>
      </c>
      <c r="M22" s="64">
        <v>33</v>
      </c>
      <c r="N22" s="64">
        <v>33</v>
      </c>
      <c r="O22" s="64">
        <v>33</v>
      </c>
      <c r="P22" s="64">
        <v>33</v>
      </c>
      <c r="Q22" s="64">
        <v>33</v>
      </c>
      <c r="R22" s="64">
        <v>33</v>
      </c>
      <c r="S22" s="64">
        <v>33</v>
      </c>
      <c r="T22" s="64">
        <v>33</v>
      </c>
      <c r="U22" s="64">
        <v>33</v>
      </c>
      <c r="V22" s="64">
        <v>33</v>
      </c>
    </row>
    <row r="23" spans="1:22" ht="165" x14ac:dyDescent="0.3">
      <c r="A23" s="58">
        <v>16</v>
      </c>
      <c r="B23" s="59" t="s">
        <v>59</v>
      </c>
      <c r="C23" s="60" t="s">
        <v>103</v>
      </c>
      <c r="D23" s="60" t="s">
        <v>104</v>
      </c>
      <c r="E23" s="60" t="s">
        <v>109</v>
      </c>
      <c r="F23" s="60" t="s">
        <v>110</v>
      </c>
      <c r="G23" s="61">
        <v>99</v>
      </c>
      <c r="H23" s="62" t="s">
        <v>64</v>
      </c>
      <c r="I23" s="58">
        <v>1</v>
      </c>
      <c r="J23" s="25">
        <f>IF(I23=0.5,G23,I23*G23)</f>
        <v>99</v>
      </c>
      <c r="K23" s="64">
        <v>0</v>
      </c>
      <c r="L23" s="64">
        <v>0</v>
      </c>
      <c r="M23" s="64">
        <v>0</v>
      </c>
      <c r="N23" s="64">
        <v>33</v>
      </c>
      <c r="O23" s="64">
        <v>33</v>
      </c>
      <c r="P23" s="64">
        <v>33</v>
      </c>
      <c r="Q23" s="64">
        <v>0</v>
      </c>
      <c r="R23" s="64">
        <v>0</v>
      </c>
      <c r="S23" s="64">
        <v>0</v>
      </c>
      <c r="T23" s="64">
        <v>0</v>
      </c>
      <c r="U23" s="64">
        <v>0</v>
      </c>
      <c r="V23" s="64">
        <v>0</v>
      </c>
    </row>
    <row r="24" spans="1:22" x14ac:dyDescent="0.3">
      <c r="A24" s="65"/>
      <c r="B24" s="16"/>
      <c r="C24" s="66" t="s">
        <v>111</v>
      </c>
      <c r="D24" s="44"/>
      <c r="E24" s="23"/>
      <c r="F24" s="23"/>
      <c r="G24" s="23"/>
      <c r="H24" s="23"/>
      <c r="I24" s="23"/>
      <c r="J24" s="23"/>
      <c r="K24" s="23"/>
      <c r="L24" s="23"/>
      <c r="M24" s="23"/>
      <c r="N24" s="23"/>
      <c r="O24" s="53"/>
      <c r="P24" s="53"/>
      <c r="Q24" s="53"/>
      <c r="R24" s="54"/>
      <c r="S24" s="53"/>
      <c r="T24" s="54"/>
      <c r="U24" s="54"/>
      <c r="V24" s="46"/>
    </row>
    <row r="25" spans="1:22" ht="120" x14ac:dyDescent="0.3">
      <c r="A25" s="58">
        <v>17</v>
      </c>
      <c r="B25" s="67" t="s">
        <v>112</v>
      </c>
      <c r="C25" s="68" t="s">
        <v>113</v>
      </c>
      <c r="D25" s="60" t="s">
        <v>114</v>
      </c>
      <c r="E25" s="60" t="s">
        <v>115</v>
      </c>
      <c r="F25" s="60" t="s">
        <v>116</v>
      </c>
      <c r="G25" s="58">
        <v>48</v>
      </c>
      <c r="H25" s="69" t="s">
        <v>117</v>
      </c>
      <c r="I25" s="58">
        <v>12</v>
      </c>
      <c r="J25" s="25">
        <f>IF(I25=0.5,G25,I25*G25)</f>
        <v>576</v>
      </c>
      <c r="K25" s="64">
        <v>48</v>
      </c>
      <c r="L25" s="64">
        <v>48</v>
      </c>
      <c r="M25" s="64">
        <v>48</v>
      </c>
      <c r="N25" s="64">
        <v>48</v>
      </c>
      <c r="O25" s="64">
        <v>48</v>
      </c>
      <c r="P25" s="64">
        <v>48</v>
      </c>
      <c r="Q25" s="64">
        <v>48</v>
      </c>
      <c r="R25" s="64">
        <v>48</v>
      </c>
      <c r="S25" s="64">
        <v>48</v>
      </c>
      <c r="T25" s="64">
        <v>48</v>
      </c>
      <c r="U25" s="64">
        <v>48</v>
      </c>
      <c r="V25" s="64">
        <v>48</v>
      </c>
    </row>
    <row r="26" spans="1:22" ht="150" x14ac:dyDescent="0.3">
      <c r="A26" s="58">
        <v>18</v>
      </c>
      <c r="B26" s="67" t="s">
        <v>112</v>
      </c>
      <c r="C26" s="68" t="s">
        <v>113</v>
      </c>
      <c r="D26" s="60" t="s">
        <v>114</v>
      </c>
      <c r="E26" s="60" t="s">
        <v>118</v>
      </c>
      <c r="F26" s="60" t="s">
        <v>119</v>
      </c>
      <c r="G26" s="58">
        <v>48</v>
      </c>
      <c r="H26" s="69" t="s">
        <v>117</v>
      </c>
      <c r="I26" s="62">
        <v>4</v>
      </c>
      <c r="J26" s="25">
        <f>IF(I26=0.5,G26,I26*G26)</f>
        <v>192</v>
      </c>
      <c r="K26" s="64">
        <v>0</v>
      </c>
      <c r="L26" s="64">
        <v>0</v>
      </c>
      <c r="M26" s="64">
        <v>48</v>
      </c>
      <c r="N26" s="64">
        <v>0</v>
      </c>
      <c r="O26" s="64">
        <v>0</v>
      </c>
      <c r="P26" s="64">
        <v>48</v>
      </c>
      <c r="Q26" s="64">
        <v>0</v>
      </c>
      <c r="R26" s="64">
        <v>0</v>
      </c>
      <c r="S26" s="64">
        <v>48</v>
      </c>
      <c r="T26" s="64">
        <v>0</v>
      </c>
      <c r="U26" s="64">
        <v>0</v>
      </c>
      <c r="V26" s="64">
        <v>48</v>
      </c>
    </row>
    <row r="27" spans="1:22" ht="105" x14ac:dyDescent="0.3">
      <c r="A27" s="58">
        <v>19</v>
      </c>
      <c r="B27" s="67" t="s">
        <v>112</v>
      </c>
      <c r="C27" s="68" t="s">
        <v>113</v>
      </c>
      <c r="D27" s="60" t="s">
        <v>114</v>
      </c>
      <c r="E27" s="60" t="s">
        <v>120</v>
      </c>
      <c r="F27" s="60" t="s">
        <v>121</v>
      </c>
      <c r="G27" s="58">
        <v>48</v>
      </c>
      <c r="H27" s="69" t="s">
        <v>117</v>
      </c>
      <c r="I27" s="58">
        <v>1</v>
      </c>
      <c r="J27" s="25">
        <f>IF(I27=0.5,G27,I27*G27)</f>
        <v>48</v>
      </c>
      <c r="K27" s="64">
        <v>0</v>
      </c>
      <c r="L27" s="64">
        <v>0</v>
      </c>
      <c r="M27" s="64">
        <v>0</v>
      </c>
      <c r="N27" s="64">
        <v>0</v>
      </c>
      <c r="O27" s="64">
        <v>0</v>
      </c>
      <c r="P27" s="64">
        <v>0</v>
      </c>
      <c r="Q27" s="64">
        <v>0</v>
      </c>
      <c r="R27" s="64">
        <v>0</v>
      </c>
      <c r="S27" s="64">
        <v>0</v>
      </c>
      <c r="T27" s="64">
        <v>24</v>
      </c>
      <c r="U27" s="64">
        <v>24</v>
      </c>
      <c r="V27" s="64">
        <v>0</v>
      </c>
    </row>
    <row r="28" spans="1:22" x14ac:dyDescent="0.3">
      <c r="A28" s="65"/>
      <c r="B28" s="16"/>
      <c r="C28" s="66" t="s">
        <v>122</v>
      </c>
      <c r="D28" s="44"/>
      <c r="E28" s="23"/>
      <c r="F28" s="23"/>
      <c r="G28" s="23"/>
      <c r="H28" s="23"/>
      <c r="I28" s="23"/>
      <c r="J28" s="23"/>
      <c r="K28" s="23"/>
      <c r="L28" s="23"/>
      <c r="M28" s="23"/>
      <c r="N28" s="23"/>
      <c r="O28" s="53"/>
      <c r="P28" s="53"/>
      <c r="Q28" s="53"/>
      <c r="R28" s="54"/>
      <c r="S28" s="53"/>
      <c r="T28" s="54"/>
      <c r="U28" s="54"/>
      <c r="V28" s="46"/>
    </row>
    <row r="29" spans="1:22" ht="90" x14ac:dyDescent="0.3">
      <c r="A29" s="58">
        <v>20</v>
      </c>
      <c r="B29" s="70" t="s">
        <v>112</v>
      </c>
      <c r="C29" s="68" t="s">
        <v>123</v>
      </c>
      <c r="D29" s="60" t="s">
        <v>124</v>
      </c>
      <c r="E29" s="60" t="s">
        <v>125</v>
      </c>
      <c r="F29" s="60" t="s">
        <v>126</v>
      </c>
      <c r="G29" s="58">
        <v>48</v>
      </c>
      <c r="H29" s="58" t="s">
        <v>123</v>
      </c>
      <c r="I29" s="58">
        <v>52</v>
      </c>
      <c r="J29" s="25">
        <f>IF(I29=0.5,G29,I29*G29)</f>
        <v>2496</v>
      </c>
      <c r="K29" s="64">
        <v>240</v>
      </c>
      <c r="L29" s="64">
        <v>192</v>
      </c>
      <c r="M29" s="64">
        <v>192</v>
      </c>
      <c r="N29" s="64">
        <v>192</v>
      </c>
      <c r="O29" s="64">
        <v>240</v>
      </c>
      <c r="P29" s="64">
        <v>192</v>
      </c>
      <c r="Q29" s="64">
        <v>240</v>
      </c>
      <c r="R29" s="64">
        <v>192</v>
      </c>
      <c r="S29" s="64">
        <v>240</v>
      </c>
      <c r="T29" s="64">
        <v>192</v>
      </c>
      <c r="U29" s="64">
        <v>192</v>
      </c>
      <c r="V29" s="64">
        <v>192</v>
      </c>
    </row>
    <row r="30" spans="1:22" ht="75" x14ac:dyDescent="0.3">
      <c r="A30" s="58">
        <v>21</v>
      </c>
      <c r="B30" s="70" t="s">
        <v>112</v>
      </c>
      <c r="C30" s="68" t="s">
        <v>123</v>
      </c>
      <c r="D30" s="60" t="s">
        <v>124</v>
      </c>
      <c r="E30" s="60" t="s">
        <v>127</v>
      </c>
      <c r="F30" s="60" t="s">
        <v>128</v>
      </c>
      <c r="G30" s="58">
        <v>48</v>
      </c>
      <c r="H30" s="58" t="s">
        <v>123</v>
      </c>
      <c r="I30" s="58">
        <v>4</v>
      </c>
      <c r="J30" s="25">
        <f>IF(I30=0.5,G30,I30*G30)</f>
        <v>192</v>
      </c>
      <c r="K30" s="64">
        <v>0</v>
      </c>
      <c r="L30" s="64">
        <v>0</v>
      </c>
      <c r="M30" s="64">
        <v>48</v>
      </c>
      <c r="N30" s="64">
        <v>0</v>
      </c>
      <c r="O30" s="64">
        <v>0</v>
      </c>
      <c r="P30" s="64">
        <v>48</v>
      </c>
      <c r="Q30" s="64">
        <v>0</v>
      </c>
      <c r="R30" s="64">
        <v>0</v>
      </c>
      <c r="S30" s="64">
        <v>48</v>
      </c>
      <c r="T30" s="64">
        <v>0</v>
      </c>
      <c r="U30" s="64">
        <v>0</v>
      </c>
      <c r="V30" s="64">
        <v>48</v>
      </c>
    </row>
    <row r="31" spans="1:22" ht="315" x14ac:dyDescent="0.3">
      <c r="A31" s="58">
        <v>22</v>
      </c>
      <c r="B31" s="70" t="s">
        <v>112</v>
      </c>
      <c r="C31" s="68" t="s">
        <v>123</v>
      </c>
      <c r="D31" s="60" t="s">
        <v>124</v>
      </c>
      <c r="E31" s="60" t="s">
        <v>129</v>
      </c>
      <c r="F31" s="60" t="s">
        <v>130</v>
      </c>
      <c r="G31" s="58">
        <v>48</v>
      </c>
      <c r="H31" s="58" t="s">
        <v>123</v>
      </c>
      <c r="I31" s="58">
        <v>2</v>
      </c>
      <c r="J31" s="25">
        <f>IF(I31=0.5,G31,I31*G31)</f>
        <v>96</v>
      </c>
      <c r="K31" s="64">
        <v>0</v>
      </c>
      <c r="L31" s="64">
        <v>0</v>
      </c>
      <c r="M31" s="64">
        <v>48</v>
      </c>
      <c r="N31" s="64">
        <v>0</v>
      </c>
      <c r="O31" s="64">
        <v>0</v>
      </c>
      <c r="P31" s="64">
        <v>0</v>
      </c>
      <c r="Q31" s="64">
        <v>0</v>
      </c>
      <c r="R31" s="64">
        <v>0</v>
      </c>
      <c r="S31" s="64">
        <v>48</v>
      </c>
      <c r="T31" s="64">
        <v>0</v>
      </c>
      <c r="U31" s="64">
        <v>0</v>
      </c>
      <c r="V31" s="64">
        <v>0</v>
      </c>
    </row>
    <row r="32" spans="1:22" ht="195" x14ac:dyDescent="0.3">
      <c r="A32" s="58">
        <v>23</v>
      </c>
      <c r="B32" s="70" t="s">
        <v>112</v>
      </c>
      <c r="C32" s="68" t="s">
        <v>123</v>
      </c>
      <c r="D32" s="60" t="s">
        <v>124</v>
      </c>
      <c r="E32" s="60" t="s">
        <v>131</v>
      </c>
      <c r="F32" s="60" t="s">
        <v>132</v>
      </c>
      <c r="G32" s="58">
        <v>48</v>
      </c>
      <c r="H32" s="58" t="s">
        <v>123</v>
      </c>
      <c r="I32" s="58">
        <v>1</v>
      </c>
      <c r="J32" s="25">
        <f>IF(I32=0.5,G32,I32*G32)</f>
        <v>48</v>
      </c>
      <c r="K32" s="64">
        <v>0</v>
      </c>
      <c r="L32" s="64">
        <v>0</v>
      </c>
      <c r="M32" s="64">
        <v>0</v>
      </c>
      <c r="N32" s="64">
        <v>0</v>
      </c>
      <c r="O32" s="64">
        <v>0</v>
      </c>
      <c r="P32" s="64">
        <v>0</v>
      </c>
      <c r="Q32" s="64">
        <v>0</v>
      </c>
      <c r="R32" s="64">
        <v>0</v>
      </c>
      <c r="S32" s="64">
        <v>0</v>
      </c>
      <c r="T32" s="64">
        <v>24</v>
      </c>
      <c r="U32" s="64">
        <v>24</v>
      </c>
      <c r="V32" s="64">
        <v>0</v>
      </c>
    </row>
    <row r="33" spans="1:22" x14ac:dyDescent="0.3">
      <c r="A33" s="65"/>
      <c r="B33" s="16"/>
      <c r="C33" s="66" t="s">
        <v>133</v>
      </c>
      <c r="D33" s="44"/>
      <c r="E33" s="23"/>
      <c r="F33" s="23"/>
      <c r="G33" s="23"/>
      <c r="H33" s="23"/>
      <c r="I33" s="23"/>
      <c r="J33" s="23"/>
      <c r="K33" s="23"/>
      <c r="L33" s="23"/>
      <c r="M33" s="23"/>
      <c r="N33" s="23"/>
      <c r="O33" s="53"/>
      <c r="P33" s="53"/>
      <c r="Q33" s="53"/>
      <c r="R33" s="54"/>
      <c r="S33" s="53"/>
      <c r="T33" s="54"/>
      <c r="U33" s="54"/>
      <c r="V33" s="46"/>
    </row>
    <row r="34" spans="1:22" ht="60" x14ac:dyDescent="0.3">
      <c r="A34" s="47">
        <v>24</v>
      </c>
      <c r="B34" s="71" t="s">
        <v>112</v>
      </c>
      <c r="C34" s="49" t="s">
        <v>134</v>
      </c>
      <c r="D34" s="49" t="s">
        <v>135</v>
      </c>
      <c r="E34" s="49" t="s">
        <v>136</v>
      </c>
      <c r="F34" s="49" t="s">
        <v>137</v>
      </c>
      <c r="G34" s="47">
        <v>24</v>
      </c>
      <c r="H34" s="72" t="s">
        <v>138</v>
      </c>
      <c r="I34" s="47">
        <v>52</v>
      </c>
      <c r="J34" s="22">
        <f>IF(I34=0.5,G34,I34*G34)</f>
        <v>1248</v>
      </c>
      <c r="K34" s="50">
        <v>96</v>
      </c>
      <c r="L34" s="50">
        <v>96</v>
      </c>
      <c r="M34" s="50">
        <v>96</v>
      </c>
      <c r="N34" s="50">
        <v>96</v>
      </c>
      <c r="O34" s="50">
        <v>96</v>
      </c>
      <c r="P34" s="50">
        <v>96</v>
      </c>
      <c r="Q34" s="50">
        <v>96</v>
      </c>
      <c r="R34" s="50">
        <v>96</v>
      </c>
      <c r="S34" s="50">
        <v>96</v>
      </c>
      <c r="T34" s="50">
        <v>96</v>
      </c>
      <c r="U34" s="50">
        <v>96</v>
      </c>
      <c r="V34" s="50">
        <v>96</v>
      </c>
    </row>
    <row r="35" spans="1:22" ht="165" x14ac:dyDescent="0.3">
      <c r="A35" s="58">
        <v>25</v>
      </c>
      <c r="B35" s="70" t="s">
        <v>112</v>
      </c>
      <c r="C35" s="60" t="s">
        <v>134</v>
      </c>
      <c r="D35" s="60" t="s">
        <v>135</v>
      </c>
      <c r="E35" s="60" t="s">
        <v>139</v>
      </c>
      <c r="F35" s="60" t="s">
        <v>140</v>
      </c>
      <c r="G35" s="58">
        <v>24</v>
      </c>
      <c r="H35" s="69" t="s">
        <v>138</v>
      </c>
      <c r="I35" s="58">
        <v>4</v>
      </c>
      <c r="J35" s="25">
        <f>IF(I35=0.5,G35,I35*G35)</f>
        <v>96</v>
      </c>
      <c r="K35" s="64">
        <v>0</v>
      </c>
      <c r="L35" s="64">
        <v>0</v>
      </c>
      <c r="M35" s="64">
        <v>24</v>
      </c>
      <c r="N35" s="64">
        <v>0</v>
      </c>
      <c r="O35" s="64">
        <v>0</v>
      </c>
      <c r="P35" s="64">
        <v>24</v>
      </c>
      <c r="Q35" s="64">
        <v>0</v>
      </c>
      <c r="R35" s="64">
        <v>0</v>
      </c>
      <c r="S35" s="64">
        <v>24</v>
      </c>
      <c r="T35" s="64">
        <v>0</v>
      </c>
      <c r="U35" s="64">
        <v>0</v>
      </c>
      <c r="V35" s="64">
        <v>24</v>
      </c>
    </row>
    <row r="36" spans="1:22" ht="409.5" x14ac:dyDescent="0.3">
      <c r="A36" s="58">
        <v>26</v>
      </c>
      <c r="B36" s="70" t="s">
        <v>112</v>
      </c>
      <c r="C36" s="60" t="s">
        <v>134</v>
      </c>
      <c r="D36" s="60" t="s">
        <v>135</v>
      </c>
      <c r="E36" s="60" t="s">
        <v>141</v>
      </c>
      <c r="F36" s="60" t="s">
        <v>142</v>
      </c>
      <c r="G36" s="58">
        <v>24</v>
      </c>
      <c r="H36" s="69" t="s">
        <v>138</v>
      </c>
      <c r="I36" s="58">
        <v>1</v>
      </c>
      <c r="J36" s="25">
        <f>IF(I36=0.5,G36,I36*G36)</f>
        <v>24</v>
      </c>
      <c r="K36" s="64">
        <v>0</v>
      </c>
      <c r="L36" s="64">
        <v>0</v>
      </c>
      <c r="M36" s="64">
        <v>0</v>
      </c>
      <c r="N36" s="64">
        <v>0</v>
      </c>
      <c r="O36" s="64">
        <v>0</v>
      </c>
      <c r="P36" s="64">
        <v>0</v>
      </c>
      <c r="Q36" s="64">
        <v>0</v>
      </c>
      <c r="R36" s="64">
        <v>0</v>
      </c>
      <c r="S36" s="64">
        <v>24</v>
      </c>
      <c r="T36" s="64">
        <v>0</v>
      </c>
      <c r="U36" s="64">
        <v>0</v>
      </c>
      <c r="V36" s="64">
        <v>0</v>
      </c>
    </row>
    <row r="37" spans="1:22" x14ac:dyDescent="0.3">
      <c r="A37" s="65"/>
      <c r="B37" s="16"/>
      <c r="C37" s="66" t="s">
        <v>143</v>
      </c>
      <c r="D37" s="44"/>
      <c r="E37" s="23"/>
      <c r="F37" s="23"/>
      <c r="G37" s="23"/>
      <c r="H37" s="23"/>
      <c r="I37" s="23"/>
      <c r="J37" s="23"/>
      <c r="K37" s="23"/>
      <c r="L37" s="23"/>
      <c r="M37" s="23"/>
      <c r="N37" s="23"/>
      <c r="O37" s="53"/>
      <c r="P37" s="53"/>
      <c r="Q37" s="53"/>
      <c r="R37" s="54"/>
      <c r="S37" s="53"/>
      <c r="T37" s="54"/>
      <c r="U37" s="54"/>
      <c r="V37" s="46"/>
    </row>
    <row r="38" spans="1:22" ht="60" x14ac:dyDescent="0.3">
      <c r="A38" s="47">
        <v>27</v>
      </c>
      <c r="B38" s="71" t="s">
        <v>112</v>
      </c>
      <c r="C38" s="49" t="s">
        <v>144</v>
      </c>
      <c r="D38" s="49" t="s">
        <v>145</v>
      </c>
      <c r="E38" s="49" t="s">
        <v>146</v>
      </c>
      <c r="F38" s="49" t="s">
        <v>147</v>
      </c>
      <c r="G38" s="47">
        <v>24</v>
      </c>
      <c r="H38" s="72" t="s">
        <v>148</v>
      </c>
      <c r="I38" s="47">
        <v>52</v>
      </c>
      <c r="J38" s="22">
        <f>IF(I38=0.5,G38,I38*G38)</f>
        <v>1248</v>
      </c>
      <c r="K38" s="50">
        <v>96</v>
      </c>
      <c r="L38" s="50">
        <v>96</v>
      </c>
      <c r="M38" s="50">
        <v>96</v>
      </c>
      <c r="N38" s="50">
        <v>96</v>
      </c>
      <c r="O38" s="50">
        <v>96</v>
      </c>
      <c r="P38" s="50">
        <v>96</v>
      </c>
      <c r="Q38" s="50">
        <v>96</v>
      </c>
      <c r="R38" s="50">
        <v>96</v>
      </c>
      <c r="S38" s="50">
        <v>96</v>
      </c>
      <c r="T38" s="50">
        <v>96</v>
      </c>
      <c r="U38" s="50">
        <v>96</v>
      </c>
      <c r="V38" s="50">
        <v>96</v>
      </c>
    </row>
    <row r="39" spans="1:22" ht="105" x14ac:dyDescent="0.3">
      <c r="A39" s="47">
        <v>28</v>
      </c>
      <c r="B39" s="71" t="s">
        <v>112</v>
      </c>
      <c r="C39" s="49" t="s">
        <v>144</v>
      </c>
      <c r="D39" s="49" t="s">
        <v>145</v>
      </c>
      <c r="E39" s="49" t="s">
        <v>149</v>
      </c>
      <c r="F39" s="49" t="s">
        <v>150</v>
      </c>
      <c r="G39" s="47">
        <v>24</v>
      </c>
      <c r="H39" s="72" t="s">
        <v>148</v>
      </c>
      <c r="I39" s="47">
        <v>4</v>
      </c>
      <c r="J39" s="22">
        <f>IF(I39=0.5,G39,I39*G39)</f>
        <v>96</v>
      </c>
      <c r="K39" s="50">
        <v>0</v>
      </c>
      <c r="L39" s="50">
        <v>0</v>
      </c>
      <c r="M39" s="50">
        <v>24</v>
      </c>
      <c r="N39" s="50">
        <v>0</v>
      </c>
      <c r="O39" s="50">
        <v>0</v>
      </c>
      <c r="P39" s="50">
        <v>24</v>
      </c>
      <c r="Q39" s="50">
        <v>0</v>
      </c>
      <c r="R39" s="50">
        <v>0</v>
      </c>
      <c r="S39" s="50">
        <v>24</v>
      </c>
      <c r="T39" s="50">
        <v>0</v>
      </c>
      <c r="U39" s="50">
        <v>0</v>
      </c>
      <c r="V39" s="50">
        <v>24</v>
      </c>
    </row>
    <row r="40" spans="1:22" x14ac:dyDescent="0.3">
      <c r="A40" s="65"/>
      <c r="B40" s="16"/>
      <c r="C40" s="66" t="s">
        <v>151</v>
      </c>
      <c r="D40" s="44"/>
      <c r="E40" s="23"/>
      <c r="F40" s="23"/>
      <c r="G40" s="23"/>
      <c r="H40" s="23"/>
      <c r="I40" s="23"/>
      <c r="J40" s="23"/>
      <c r="K40" s="23"/>
      <c r="L40" s="23"/>
      <c r="M40" s="23"/>
      <c r="N40" s="23"/>
      <c r="O40" s="53"/>
      <c r="P40" s="53"/>
      <c r="Q40" s="53"/>
      <c r="R40" s="54"/>
      <c r="S40" s="53"/>
      <c r="T40" s="54"/>
      <c r="U40" s="54"/>
      <c r="V40" s="46"/>
    </row>
    <row r="41" spans="1:22" ht="105" x14ac:dyDescent="0.3">
      <c r="A41" s="58">
        <v>29</v>
      </c>
      <c r="B41" s="70" t="s">
        <v>112</v>
      </c>
      <c r="C41" s="60" t="s">
        <v>152</v>
      </c>
      <c r="D41" s="60" t="s">
        <v>153</v>
      </c>
      <c r="E41" s="60" t="s">
        <v>154</v>
      </c>
      <c r="F41" s="60" t="s">
        <v>155</v>
      </c>
      <c r="G41" s="58">
        <v>24</v>
      </c>
      <c r="H41" s="69" t="s">
        <v>156</v>
      </c>
      <c r="I41" s="58">
        <v>1</v>
      </c>
      <c r="J41" s="25">
        <f>IF(I41=0.5,G41,I41*G41)</f>
        <v>24</v>
      </c>
      <c r="K41" s="64"/>
      <c r="L41" s="64"/>
      <c r="M41" s="64">
        <v>0</v>
      </c>
      <c r="N41" s="64">
        <v>0</v>
      </c>
      <c r="O41" s="64">
        <v>0</v>
      </c>
      <c r="P41" s="64">
        <v>0</v>
      </c>
      <c r="Q41" s="64">
        <v>0</v>
      </c>
      <c r="R41" s="64">
        <v>0</v>
      </c>
      <c r="S41" s="64">
        <v>0</v>
      </c>
      <c r="T41" s="64">
        <v>24</v>
      </c>
      <c r="U41" s="64">
        <v>0</v>
      </c>
      <c r="V41" s="64">
        <v>0</v>
      </c>
    </row>
    <row r="42" spans="1:22" x14ac:dyDescent="0.3">
      <c r="A42" s="65"/>
      <c r="B42" s="16"/>
      <c r="C42" s="66" t="s">
        <v>157</v>
      </c>
      <c r="D42" s="44"/>
      <c r="E42" s="23"/>
      <c r="F42" s="23"/>
      <c r="G42" s="23"/>
      <c r="H42" s="23"/>
      <c r="I42" s="23"/>
      <c r="J42" s="23"/>
      <c r="K42" s="23"/>
      <c r="L42" s="23"/>
      <c r="M42" s="23"/>
      <c r="N42" s="23"/>
      <c r="O42" s="53"/>
      <c r="P42" s="53"/>
      <c r="Q42" s="53"/>
      <c r="R42" s="54"/>
      <c r="S42" s="53"/>
      <c r="T42" s="54"/>
      <c r="U42" s="54"/>
      <c r="V42" s="46"/>
    </row>
    <row r="43" spans="1:22" ht="60" x14ac:dyDescent="0.3">
      <c r="A43" s="58">
        <v>30</v>
      </c>
      <c r="B43" s="70" t="s">
        <v>158</v>
      </c>
      <c r="C43" s="60" t="s">
        <v>159</v>
      </c>
      <c r="D43" s="60" t="s">
        <v>160</v>
      </c>
      <c r="E43" s="60" t="s">
        <v>161</v>
      </c>
      <c r="F43" s="60" t="s">
        <v>162</v>
      </c>
      <c r="G43" s="58">
        <v>1</v>
      </c>
      <c r="H43" s="69" t="s">
        <v>163</v>
      </c>
      <c r="I43" s="58">
        <v>52</v>
      </c>
      <c r="J43" s="25">
        <f>IF(I43=0.5,G43,I43*G43)</f>
        <v>52</v>
      </c>
      <c r="K43" s="64">
        <v>4</v>
      </c>
      <c r="L43" s="64">
        <v>4</v>
      </c>
      <c r="M43" s="64">
        <v>4</v>
      </c>
      <c r="N43" s="64">
        <v>4</v>
      </c>
      <c r="O43" s="64">
        <v>4</v>
      </c>
      <c r="P43" s="64">
        <v>4</v>
      </c>
      <c r="Q43" s="64">
        <v>4</v>
      </c>
      <c r="R43" s="64">
        <v>4</v>
      </c>
      <c r="S43" s="64">
        <v>4</v>
      </c>
      <c r="T43" s="64">
        <v>4</v>
      </c>
      <c r="U43" s="64">
        <v>4</v>
      </c>
      <c r="V43" s="64">
        <v>4</v>
      </c>
    </row>
    <row r="44" spans="1:22" ht="60" x14ac:dyDescent="0.3">
      <c r="A44" s="58">
        <v>31</v>
      </c>
      <c r="B44" s="70" t="s">
        <v>158</v>
      </c>
      <c r="C44" s="60" t="s">
        <v>159</v>
      </c>
      <c r="D44" s="60" t="s">
        <v>160</v>
      </c>
      <c r="E44" s="60" t="s">
        <v>164</v>
      </c>
      <c r="F44" s="60" t="s">
        <v>165</v>
      </c>
      <c r="G44" s="58">
        <v>1</v>
      </c>
      <c r="H44" s="69" t="s">
        <v>163</v>
      </c>
      <c r="I44" s="58">
        <v>4</v>
      </c>
      <c r="J44" s="25">
        <f>IF(I44=0.5,G44,I44*G44)</f>
        <v>4</v>
      </c>
      <c r="K44" s="64">
        <v>0</v>
      </c>
      <c r="L44" s="64">
        <v>0</v>
      </c>
      <c r="M44" s="64">
        <v>1</v>
      </c>
      <c r="N44" s="64">
        <v>0</v>
      </c>
      <c r="O44" s="64">
        <v>0</v>
      </c>
      <c r="P44" s="64">
        <v>1</v>
      </c>
      <c r="Q44" s="64">
        <v>0</v>
      </c>
      <c r="R44" s="64">
        <v>0</v>
      </c>
      <c r="S44" s="64">
        <v>1</v>
      </c>
      <c r="T44" s="64">
        <v>0</v>
      </c>
      <c r="U44" s="64">
        <v>0</v>
      </c>
      <c r="V44" s="64">
        <v>1</v>
      </c>
    </row>
    <row r="45" spans="1:22" x14ac:dyDescent="0.3">
      <c r="A45" s="65"/>
      <c r="B45" s="16"/>
      <c r="C45" s="66" t="s">
        <v>166</v>
      </c>
      <c r="D45" s="44"/>
      <c r="E45" s="23"/>
      <c r="F45" s="23"/>
      <c r="G45" s="23"/>
      <c r="H45" s="23"/>
      <c r="I45" s="23"/>
      <c r="J45" s="23"/>
      <c r="K45" s="23"/>
      <c r="L45" s="23"/>
      <c r="M45" s="23"/>
      <c r="N45" s="23"/>
      <c r="O45" s="53"/>
      <c r="P45" s="53"/>
      <c r="Q45" s="53"/>
      <c r="R45" s="54"/>
      <c r="S45" s="53"/>
      <c r="T45" s="54"/>
      <c r="U45" s="54"/>
      <c r="V45" s="46"/>
    </row>
    <row r="46" spans="1:22" ht="30" x14ac:dyDescent="0.3">
      <c r="A46" s="58">
        <v>32</v>
      </c>
      <c r="B46" s="70" t="s">
        <v>158</v>
      </c>
      <c r="C46" s="60" t="s">
        <v>167</v>
      </c>
      <c r="D46" s="60" t="s">
        <v>168</v>
      </c>
      <c r="E46" s="60" t="s">
        <v>169</v>
      </c>
      <c r="F46" s="60" t="s">
        <v>162</v>
      </c>
      <c r="G46" s="58">
        <v>1</v>
      </c>
      <c r="H46" s="69" t="s">
        <v>158</v>
      </c>
      <c r="I46" s="58">
        <v>365</v>
      </c>
      <c r="J46" s="25">
        <f>IF(I46=0.5,G46,I46*G46)</f>
        <v>365</v>
      </c>
      <c r="K46" s="64">
        <v>31</v>
      </c>
      <c r="L46" s="64">
        <v>28</v>
      </c>
      <c r="M46" s="64">
        <v>31</v>
      </c>
      <c r="N46" s="64">
        <v>30</v>
      </c>
      <c r="O46" s="64">
        <v>31</v>
      </c>
      <c r="P46" s="64">
        <v>30</v>
      </c>
      <c r="Q46" s="64">
        <v>31</v>
      </c>
      <c r="R46" s="64">
        <v>31</v>
      </c>
      <c r="S46" s="64">
        <v>30</v>
      </c>
      <c r="T46" s="64">
        <v>31</v>
      </c>
      <c r="U46" s="64">
        <v>30</v>
      </c>
      <c r="V46" s="64">
        <v>31</v>
      </c>
    </row>
    <row r="47" spans="1:22" ht="45" x14ac:dyDescent="0.3">
      <c r="A47" s="58">
        <v>33</v>
      </c>
      <c r="B47" s="70" t="s">
        <v>158</v>
      </c>
      <c r="C47" s="60" t="s">
        <v>167</v>
      </c>
      <c r="D47" s="60" t="s">
        <v>168</v>
      </c>
      <c r="E47" s="60" t="s">
        <v>170</v>
      </c>
      <c r="F47" s="60" t="s">
        <v>171</v>
      </c>
      <c r="G47" s="58">
        <v>1</v>
      </c>
      <c r="H47" s="69" t="s">
        <v>158</v>
      </c>
      <c r="I47" s="58">
        <v>4</v>
      </c>
      <c r="J47" s="25">
        <f>IF(I47=0.5,G47,I47*G47)</f>
        <v>4</v>
      </c>
      <c r="K47" s="64">
        <v>0</v>
      </c>
      <c r="L47" s="64">
        <v>0</v>
      </c>
      <c r="M47" s="64">
        <v>1</v>
      </c>
      <c r="N47" s="64">
        <v>0</v>
      </c>
      <c r="O47" s="64">
        <v>0</v>
      </c>
      <c r="P47" s="64">
        <v>1</v>
      </c>
      <c r="Q47" s="64">
        <v>0</v>
      </c>
      <c r="R47" s="64">
        <v>0</v>
      </c>
      <c r="S47" s="64">
        <v>1</v>
      </c>
      <c r="T47" s="64">
        <v>0</v>
      </c>
      <c r="U47" s="64">
        <v>0</v>
      </c>
      <c r="V47" s="64">
        <v>1</v>
      </c>
    </row>
    <row r="48" spans="1:22" ht="30" x14ac:dyDescent="0.3">
      <c r="A48" s="58">
        <v>34</v>
      </c>
      <c r="B48" s="70" t="s">
        <v>158</v>
      </c>
      <c r="C48" s="60" t="s">
        <v>167</v>
      </c>
      <c r="D48" s="60" t="s">
        <v>168</v>
      </c>
      <c r="E48" s="60" t="s">
        <v>172</v>
      </c>
      <c r="F48" s="60" t="s">
        <v>173</v>
      </c>
      <c r="G48" s="58">
        <v>1</v>
      </c>
      <c r="H48" s="69" t="s">
        <v>158</v>
      </c>
      <c r="I48" s="58" t="s">
        <v>75</v>
      </c>
      <c r="J48" s="25">
        <v>0</v>
      </c>
      <c r="K48" s="64">
        <v>0</v>
      </c>
      <c r="L48" s="64">
        <v>0</v>
      </c>
      <c r="M48" s="64">
        <v>0</v>
      </c>
      <c r="N48" s="64">
        <v>0</v>
      </c>
      <c r="O48" s="64">
        <v>0</v>
      </c>
      <c r="P48" s="64">
        <v>0</v>
      </c>
      <c r="Q48" s="64">
        <v>0</v>
      </c>
      <c r="R48" s="64">
        <v>0</v>
      </c>
      <c r="S48" s="64">
        <v>0</v>
      </c>
      <c r="T48" s="64">
        <v>0</v>
      </c>
      <c r="U48" s="64">
        <v>0</v>
      </c>
      <c r="V48" s="64">
        <v>0</v>
      </c>
    </row>
    <row r="49" spans="1:22" x14ac:dyDescent="0.3">
      <c r="A49" s="65"/>
      <c r="B49" s="16"/>
      <c r="C49" s="66" t="s">
        <v>174</v>
      </c>
      <c r="D49" s="44"/>
      <c r="E49" s="23"/>
      <c r="F49" s="23"/>
      <c r="G49" s="23"/>
      <c r="H49" s="23"/>
      <c r="I49" s="23"/>
      <c r="J49" s="23"/>
      <c r="K49" s="23"/>
      <c r="L49" s="23"/>
      <c r="M49" s="23"/>
      <c r="N49" s="23"/>
      <c r="O49" s="53"/>
      <c r="P49" s="53"/>
      <c r="Q49" s="53"/>
      <c r="R49" s="54"/>
      <c r="S49" s="53"/>
      <c r="T49" s="54"/>
      <c r="U49" s="54"/>
      <c r="V49" s="46"/>
    </row>
    <row r="50" spans="1:22" ht="90" x14ac:dyDescent="0.3">
      <c r="A50" s="58">
        <v>35</v>
      </c>
      <c r="B50" s="70" t="s">
        <v>175</v>
      </c>
      <c r="C50" s="60" t="s">
        <v>176</v>
      </c>
      <c r="D50" s="60" t="s">
        <v>177</v>
      </c>
      <c r="E50" s="60" t="s">
        <v>178</v>
      </c>
      <c r="F50" s="60" t="s">
        <v>179</v>
      </c>
      <c r="G50" s="58">
        <v>4</v>
      </c>
      <c r="H50" s="69" t="s">
        <v>175</v>
      </c>
      <c r="I50" s="58">
        <v>52</v>
      </c>
      <c r="J50" s="25">
        <f>IF(I50=0.5,G50,I50*G50)</f>
        <v>208</v>
      </c>
      <c r="K50" s="64">
        <v>16</v>
      </c>
      <c r="L50" s="64">
        <v>16</v>
      </c>
      <c r="M50" s="64">
        <v>16</v>
      </c>
      <c r="N50" s="64">
        <v>16</v>
      </c>
      <c r="O50" s="64">
        <v>16</v>
      </c>
      <c r="P50" s="64">
        <v>16</v>
      </c>
      <c r="Q50" s="64">
        <v>16</v>
      </c>
      <c r="R50" s="64">
        <v>16</v>
      </c>
      <c r="S50" s="64">
        <v>16</v>
      </c>
      <c r="T50" s="64">
        <v>16</v>
      </c>
      <c r="U50" s="64">
        <v>16</v>
      </c>
      <c r="V50" s="64">
        <v>16</v>
      </c>
    </row>
    <row r="51" spans="1:22" ht="90" x14ac:dyDescent="0.3">
      <c r="A51" s="58">
        <v>36</v>
      </c>
      <c r="B51" s="70" t="s">
        <v>175</v>
      </c>
      <c r="C51" s="60" t="s">
        <v>176</v>
      </c>
      <c r="D51" s="60" t="s">
        <v>177</v>
      </c>
      <c r="E51" s="60" t="s">
        <v>180</v>
      </c>
      <c r="F51" s="60" t="s">
        <v>181</v>
      </c>
      <c r="G51" s="58">
        <v>4</v>
      </c>
      <c r="H51" s="69" t="s">
        <v>175</v>
      </c>
      <c r="I51" s="58">
        <v>4</v>
      </c>
      <c r="J51" s="25">
        <f>IF(I51=0.5,G51,I51*G51)</f>
        <v>16</v>
      </c>
      <c r="K51" s="64">
        <v>0</v>
      </c>
      <c r="L51" s="64">
        <v>0</v>
      </c>
      <c r="M51" s="64">
        <v>4</v>
      </c>
      <c r="N51" s="64">
        <v>0</v>
      </c>
      <c r="O51" s="64">
        <v>0</v>
      </c>
      <c r="P51" s="64">
        <v>0</v>
      </c>
      <c r="Q51" s="64">
        <v>0</v>
      </c>
      <c r="R51" s="64">
        <v>0</v>
      </c>
      <c r="S51" s="64">
        <v>4</v>
      </c>
      <c r="T51" s="64">
        <v>0</v>
      </c>
      <c r="U51" s="64">
        <v>0</v>
      </c>
      <c r="V51" s="64">
        <v>0</v>
      </c>
    </row>
    <row r="52" spans="1:22" ht="75" x14ac:dyDescent="0.3">
      <c r="A52" s="58">
        <v>37</v>
      </c>
      <c r="B52" s="70" t="s">
        <v>175</v>
      </c>
      <c r="C52" s="60" t="s">
        <v>176</v>
      </c>
      <c r="D52" s="60" t="s">
        <v>177</v>
      </c>
      <c r="E52" s="60" t="s">
        <v>182</v>
      </c>
      <c r="F52" s="60" t="s">
        <v>183</v>
      </c>
      <c r="G52" s="58">
        <v>4</v>
      </c>
      <c r="H52" s="69" t="s">
        <v>175</v>
      </c>
      <c r="I52" s="58">
        <v>1</v>
      </c>
      <c r="J52" s="25">
        <f>IF(I52=0.5,G52,I52*G52)</f>
        <v>4</v>
      </c>
      <c r="K52" s="64">
        <v>0</v>
      </c>
      <c r="L52" s="64">
        <v>0</v>
      </c>
      <c r="M52" s="64">
        <v>0</v>
      </c>
      <c r="N52" s="64">
        <v>0</v>
      </c>
      <c r="O52" s="64">
        <v>0</v>
      </c>
      <c r="P52" s="64">
        <v>0</v>
      </c>
      <c r="Q52" s="64">
        <v>0</v>
      </c>
      <c r="R52" s="64">
        <v>0</v>
      </c>
      <c r="S52" s="64">
        <v>4</v>
      </c>
      <c r="T52" s="64">
        <v>0</v>
      </c>
      <c r="U52" s="64">
        <v>0</v>
      </c>
      <c r="V52" s="64">
        <v>0</v>
      </c>
    </row>
    <row r="53" spans="1:22" ht="75" x14ac:dyDescent="0.3">
      <c r="A53" s="58">
        <v>38</v>
      </c>
      <c r="B53" s="70" t="s">
        <v>175</v>
      </c>
      <c r="C53" s="60" t="s">
        <v>176</v>
      </c>
      <c r="D53" s="60" t="s">
        <v>177</v>
      </c>
      <c r="E53" s="60" t="s">
        <v>184</v>
      </c>
      <c r="F53" s="60" t="s">
        <v>185</v>
      </c>
      <c r="G53" s="58">
        <v>4</v>
      </c>
      <c r="H53" s="69" t="s">
        <v>175</v>
      </c>
      <c r="I53" s="58" t="s">
        <v>75</v>
      </c>
      <c r="J53" s="25">
        <v>0</v>
      </c>
      <c r="K53" s="64">
        <v>0</v>
      </c>
      <c r="L53" s="64">
        <v>0</v>
      </c>
      <c r="M53" s="64">
        <v>4</v>
      </c>
      <c r="N53" s="64">
        <v>0</v>
      </c>
      <c r="O53" s="64">
        <v>0</v>
      </c>
      <c r="P53" s="64">
        <v>0</v>
      </c>
      <c r="Q53" s="64">
        <v>0</v>
      </c>
      <c r="R53" s="64">
        <v>0</v>
      </c>
      <c r="S53" s="64">
        <v>0</v>
      </c>
      <c r="T53" s="64">
        <v>0</v>
      </c>
      <c r="U53" s="64">
        <v>0</v>
      </c>
      <c r="V53" s="64">
        <v>0</v>
      </c>
    </row>
    <row r="54" spans="1:22" x14ac:dyDescent="0.3">
      <c r="A54" s="65"/>
      <c r="B54" s="16"/>
      <c r="C54" s="66" t="s">
        <v>186</v>
      </c>
      <c r="D54" s="44"/>
      <c r="E54" s="23"/>
      <c r="F54" s="23"/>
      <c r="G54" s="23"/>
      <c r="H54" s="23"/>
      <c r="I54" s="23"/>
      <c r="J54" s="23"/>
      <c r="K54" s="23"/>
      <c r="L54" s="23"/>
      <c r="M54" s="23"/>
      <c r="N54" s="23"/>
      <c r="O54" s="53"/>
      <c r="P54" s="53"/>
      <c r="Q54" s="53"/>
      <c r="R54" s="54"/>
      <c r="S54" s="53"/>
      <c r="T54" s="54"/>
      <c r="U54" s="54"/>
      <c r="V54" s="46"/>
    </row>
    <row r="55" spans="1:22" ht="45" x14ac:dyDescent="0.3">
      <c r="A55" s="58">
        <v>39</v>
      </c>
      <c r="B55" s="70" t="s">
        <v>112</v>
      </c>
      <c r="C55" s="60" t="s">
        <v>187</v>
      </c>
      <c r="D55" s="60" t="s">
        <v>188</v>
      </c>
      <c r="E55" s="60" t="s">
        <v>189</v>
      </c>
      <c r="F55" s="60" t="s">
        <v>190</v>
      </c>
      <c r="G55" s="58">
        <v>24</v>
      </c>
      <c r="H55" s="69" t="s">
        <v>156</v>
      </c>
      <c r="I55" s="58">
        <v>52</v>
      </c>
      <c r="J55" s="25">
        <f>IF(I55=0.5,G55,I55*G55)</f>
        <v>1248</v>
      </c>
      <c r="K55" s="64">
        <v>96</v>
      </c>
      <c r="L55" s="64">
        <v>96</v>
      </c>
      <c r="M55" s="64">
        <v>96</v>
      </c>
      <c r="N55" s="64">
        <v>96</v>
      </c>
      <c r="O55" s="64">
        <v>96</v>
      </c>
      <c r="P55" s="64">
        <v>96</v>
      </c>
      <c r="Q55" s="64">
        <v>96</v>
      </c>
      <c r="R55" s="64">
        <v>96</v>
      </c>
      <c r="S55" s="64">
        <v>96</v>
      </c>
      <c r="T55" s="64">
        <v>96</v>
      </c>
      <c r="U55" s="64">
        <v>96</v>
      </c>
      <c r="V55" s="64">
        <v>96</v>
      </c>
    </row>
    <row r="56" spans="1:22" ht="75" x14ac:dyDescent="0.3">
      <c r="A56" s="58">
        <v>40</v>
      </c>
      <c r="B56" s="70" t="s">
        <v>112</v>
      </c>
      <c r="C56" s="60" t="s">
        <v>187</v>
      </c>
      <c r="D56" s="60" t="s">
        <v>188</v>
      </c>
      <c r="E56" s="60" t="s">
        <v>191</v>
      </c>
      <c r="F56" s="60" t="s">
        <v>192</v>
      </c>
      <c r="G56" s="58">
        <v>24</v>
      </c>
      <c r="H56" s="69" t="s">
        <v>156</v>
      </c>
      <c r="I56" s="58">
        <v>4</v>
      </c>
      <c r="J56" s="25">
        <f>IF(I56=0.5,G56,I56*G56)</f>
        <v>96</v>
      </c>
      <c r="K56" s="64">
        <v>0</v>
      </c>
      <c r="L56" s="64">
        <v>0</v>
      </c>
      <c r="M56" s="64">
        <v>24</v>
      </c>
      <c r="N56" s="64">
        <v>0</v>
      </c>
      <c r="O56" s="64">
        <v>0</v>
      </c>
      <c r="P56" s="64">
        <v>24</v>
      </c>
      <c r="Q56" s="64">
        <v>0</v>
      </c>
      <c r="R56" s="64">
        <v>0</v>
      </c>
      <c r="S56" s="64">
        <v>24</v>
      </c>
      <c r="T56" s="64">
        <v>0</v>
      </c>
      <c r="U56" s="64">
        <v>0</v>
      </c>
      <c r="V56" s="64">
        <v>24</v>
      </c>
    </row>
    <row r="57" spans="1:22" ht="255" x14ac:dyDescent="0.3">
      <c r="A57" s="58">
        <v>41</v>
      </c>
      <c r="B57" s="70" t="s">
        <v>112</v>
      </c>
      <c r="C57" s="60" t="s">
        <v>187</v>
      </c>
      <c r="D57" s="60" t="s">
        <v>188</v>
      </c>
      <c r="E57" s="60" t="s">
        <v>193</v>
      </c>
      <c r="F57" s="60" t="s">
        <v>194</v>
      </c>
      <c r="G57" s="58">
        <v>24</v>
      </c>
      <c r="H57" s="69" t="s">
        <v>156</v>
      </c>
      <c r="I57" s="58">
        <v>2</v>
      </c>
      <c r="J57" s="25">
        <f>IF(I57=0.5,G57,I57*G57)</f>
        <v>48</v>
      </c>
      <c r="K57" s="64">
        <v>0</v>
      </c>
      <c r="L57" s="64">
        <v>0</v>
      </c>
      <c r="M57" s="64">
        <v>0</v>
      </c>
      <c r="N57" s="64">
        <v>0</v>
      </c>
      <c r="O57" s="64">
        <v>0</v>
      </c>
      <c r="P57" s="64">
        <v>24</v>
      </c>
      <c r="Q57" s="64">
        <v>0</v>
      </c>
      <c r="R57" s="64">
        <v>0</v>
      </c>
      <c r="S57" s="64">
        <v>0</v>
      </c>
      <c r="T57" s="64">
        <v>0</v>
      </c>
      <c r="U57" s="64">
        <v>0</v>
      </c>
      <c r="V57" s="64">
        <v>24</v>
      </c>
    </row>
    <row r="58" spans="1:22" ht="150" x14ac:dyDescent="0.3">
      <c r="A58" s="58">
        <v>42</v>
      </c>
      <c r="B58" s="70" t="s">
        <v>112</v>
      </c>
      <c r="C58" s="60" t="s">
        <v>187</v>
      </c>
      <c r="D58" s="60" t="s">
        <v>188</v>
      </c>
      <c r="E58" s="60" t="s">
        <v>195</v>
      </c>
      <c r="F58" s="60" t="s">
        <v>196</v>
      </c>
      <c r="G58" s="58">
        <v>24</v>
      </c>
      <c r="H58" s="69" t="s">
        <v>156</v>
      </c>
      <c r="I58" s="58">
        <v>1</v>
      </c>
      <c r="J58" s="25">
        <f>IF(I58=0.5,G58,I58*G58)</f>
        <v>24</v>
      </c>
      <c r="K58" s="64">
        <v>0</v>
      </c>
      <c r="L58" s="64">
        <v>0</v>
      </c>
      <c r="M58" s="64">
        <v>0</v>
      </c>
      <c r="N58" s="64">
        <v>0</v>
      </c>
      <c r="O58" s="64">
        <v>0</v>
      </c>
      <c r="P58" s="64">
        <v>0</v>
      </c>
      <c r="Q58" s="64">
        <v>0</v>
      </c>
      <c r="R58" s="64">
        <v>0</v>
      </c>
      <c r="S58" s="64">
        <v>24</v>
      </c>
      <c r="T58" s="64">
        <v>0</v>
      </c>
      <c r="U58" s="64">
        <v>0</v>
      </c>
      <c r="V58" s="64">
        <v>0</v>
      </c>
    </row>
    <row r="59" spans="1:22" x14ac:dyDescent="0.3">
      <c r="A59" s="65"/>
      <c r="B59" s="16"/>
      <c r="C59" s="66" t="s">
        <v>197</v>
      </c>
      <c r="D59" s="44"/>
      <c r="E59" s="23"/>
      <c r="F59" s="23"/>
      <c r="G59" s="23"/>
      <c r="H59" s="23"/>
      <c r="I59" s="23"/>
      <c r="J59" s="23"/>
      <c r="K59" s="23"/>
      <c r="L59" s="23"/>
      <c r="M59" s="23"/>
      <c r="N59" s="23"/>
      <c r="O59" s="53"/>
      <c r="P59" s="53"/>
      <c r="Q59" s="53"/>
      <c r="R59" s="54"/>
      <c r="S59" s="53"/>
      <c r="T59" s="54"/>
      <c r="U59" s="54"/>
      <c r="V59" s="46"/>
    </row>
    <row r="60" spans="1:22" ht="60" x14ac:dyDescent="0.3">
      <c r="A60" s="58">
        <v>43</v>
      </c>
      <c r="B60" s="70" t="s">
        <v>198</v>
      </c>
      <c r="C60" s="60" t="s">
        <v>199</v>
      </c>
      <c r="D60" s="60" t="s">
        <v>200</v>
      </c>
      <c r="E60" s="60" t="s">
        <v>201</v>
      </c>
      <c r="F60" s="60" t="s">
        <v>202</v>
      </c>
      <c r="G60" s="58">
        <v>24</v>
      </c>
      <c r="H60" s="69" t="s">
        <v>156</v>
      </c>
      <c r="I60" s="58">
        <v>4</v>
      </c>
      <c r="J60" s="25">
        <f>IF(I60=0.5,G60,I60*G60)</f>
        <v>96</v>
      </c>
      <c r="K60" s="64">
        <v>0</v>
      </c>
      <c r="L60" s="64">
        <v>0</v>
      </c>
      <c r="M60" s="64">
        <v>24</v>
      </c>
      <c r="N60" s="64">
        <v>0</v>
      </c>
      <c r="O60" s="64">
        <v>0</v>
      </c>
      <c r="P60" s="64">
        <v>24</v>
      </c>
      <c r="Q60" s="64">
        <v>0</v>
      </c>
      <c r="R60" s="64">
        <v>0</v>
      </c>
      <c r="S60" s="64">
        <v>24</v>
      </c>
      <c r="T60" s="64">
        <v>0</v>
      </c>
      <c r="U60" s="64">
        <v>0</v>
      </c>
      <c r="V60" s="64">
        <v>24</v>
      </c>
    </row>
    <row r="61" spans="1:22" ht="45" x14ac:dyDescent="0.3">
      <c r="A61" s="58">
        <v>44</v>
      </c>
      <c r="B61" s="70" t="s">
        <v>198</v>
      </c>
      <c r="C61" s="60" t="s">
        <v>199</v>
      </c>
      <c r="D61" s="60" t="s">
        <v>200</v>
      </c>
      <c r="E61" s="60" t="s">
        <v>203</v>
      </c>
      <c r="F61" s="60" t="s">
        <v>204</v>
      </c>
      <c r="G61" s="58">
        <v>24</v>
      </c>
      <c r="H61" s="69" t="s">
        <v>156</v>
      </c>
      <c r="I61" s="58">
        <v>3</v>
      </c>
      <c r="J61" s="25">
        <f>IF(I61=0.5,G61,I61*G61)</f>
        <v>72</v>
      </c>
      <c r="K61" s="64">
        <v>0</v>
      </c>
      <c r="L61" s="64">
        <v>0</v>
      </c>
      <c r="M61" s="64">
        <v>24</v>
      </c>
      <c r="N61" s="64">
        <v>0</v>
      </c>
      <c r="O61" s="64">
        <v>0</v>
      </c>
      <c r="P61" s="64">
        <v>0</v>
      </c>
      <c r="Q61" s="64">
        <v>24</v>
      </c>
      <c r="R61" s="64">
        <v>0</v>
      </c>
      <c r="S61" s="64">
        <v>0</v>
      </c>
      <c r="T61" s="64">
        <v>0</v>
      </c>
      <c r="U61" s="64">
        <v>0</v>
      </c>
      <c r="V61" s="64">
        <v>24</v>
      </c>
    </row>
    <row r="62" spans="1:22" ht="195" x14ac:dyDescent="0.3">
      <c r="A62" s="58">
        <v>45</v>
      </c>
      <c r="B62" s="70" t="s">
        <v>198</v>
      </c>
      <c r="C62" s="60" t="s">
        <v>205</v>
      </c>
      <c r="D62" s="60" t="s">
        <v>200</v>
      </c>
      <c r="E62" s="60" t="s">
        <v>206</v>
      </c>
      <c r="F62" s="60" t="s">
        <v>207</v>
      </c>
      <c r="G62" s="58">
        <v>24</v>
      </c>
      <c r="H62" s="69" t="s">
        <v>156</v>
      </c>
      <c r="I62" s="58">
        <v>1</v>
      </c>
      <c r="J62" s="25">
        <f>IF(I62=0.5,G62,I62*G62)</f>
        <v>24</v>
      </c>
      <c r="K62" s="64"/>
      <c r="L62" s="64">
        <v>0</v>
      </c>
      <c r="M62" s="64">
        <v>0</v>
      </c>
      <c r="N62" s="64">
        <v>0</v>
      </c>
      <c r="O62" s="64">
        <v>0</v>
      </c>
      <c r="P62" s="64">
        <v>0</v>
      </c>
      <c r="Q62" s="64">
        <v>0</v>
      </c>
      <c r="R62" s="64">
        <v>0</v>
      </c>
      <c r="S62" s="64">
        <v>24</v>
      </c>
      <c r="T62" s="64">
        <v>0</v>
      </c>
      <c r="U62" s="64">
        <v>0</v>
      </c>
      <c r="V62" s="64">
        <v>0</v>
      </c>
    </row>
    <row r="63" spans="1:22" x14ac:dyDescent="0.3">
      <c r="A63" s="65"/>
      <c r="B63" s="16"/>
      <c r="C63" s="66" t="s">
        <v>208</v>
      </c>
      <c r="D63" s="44"/>
      <c r="E63" s="23"/>
      <c r="F63" s="23"/>
      <c r="G63" s="23"/>
      <c r="H63" s="23"/>
      <c r="I63" s="23"/>
      <c r="J63" s="23"/>
      <c r="K63" s="23"/>
      <c r="L63" s="23"/>
      <c r="M63" s="23"/>
      <c r="N63" s="23"/>
      <c r="O63" s="53"/>
      <c r="P63" s="53"/>
      <c r="Q63" s="53"/>
      <c r="R63" s="54"/>
      <c r="S63" s="53"/>
      <c r="T63" s="54"/>
      <c r="U63" s="54"/>
      <c r="V63" s="46"/>
    </row>
    <row r="64" spans="1:22" ht="60" x14ac:dyDescent="0.3">
      <c r="A64" s="47">
        <v>46</v>
      </c>
      <c r="B64" s="71" t="s">
        <v>198</v>
      </c>
      <c r="C64" s="48" t="s">
        <v>209</v>
      </c>
      <c r="D64" s="49" t="s">
        <v>210</v>
      </c>
      <c r="E64" s="48" t="s">
        <v>211</v>
      </c>
      <c r="F64" s="49" t="s">
        <v>212</v>
      </c>
      <c r="G64" s="47">
        <v>1</v>
      </c>
      <c r="H64" s="72" t="s">
        <v>213</v>
      </c>
      <c r="I64" s="47">
        <v>12</v>
      </c>
      <c r="J64" s="22">
        <f>IF(I64=0.5,G64,I64*G64)</f>
        <v>12</v>
      </c>
      <c r="K64" s="50">
        <v>1</v>
      </c>
      <c r="L64" s="50">
        <v>1</v>
      </c>
      <c r="M64" s="50">
        <v>1</v>
      </c>
      <c r="N64" s="50">
        <v>1</v>
      </c>
      <c r="O64" s="50">
        <v>1</v>
      </c>
      <c r="P64" s="50">
        <v>1</v>
      </c>
      <c r="Q64" s="50">
        <v>1</v>
      </c>
      <c r="R64" s="50">
        <v>1</v>
      </c>
      <c r="S64" s="50">
        <v>1</v>
      </c>
      <c r="T64" s="50">
        <v>1</v>
      </c>
      <c r="U64" s="50">
        <v>1</v>
      </c>
      <c r="V64" s="50">
        <v>1</v>
      </c>
    </row>
    <row r="65" spans="1:22" ht="150" x14ac:dyDescent="0.3">
      <c r="A65" s="47">
        <v>47</v>
      </c>
      <c r="B65" s="71" t="s">
        <v>198</v>
      </c>
      <c r="C65" s="48" t="s">
        <v>209</v>
      </c>
      <c r="D65" s="49" t="s">
        <v>210</v>
      </c>
      <c r="E65" s="48" t="s">
        <v>214</v>
      </c>
      <c r="F65" s="48" t="s">
        <v>215</v>
      </c>
      <c r="G65" s="73">
        <v>1</v>
      </c>
      <c r="H65" s="72" t="s">
        <v>213</v>
      </c>
      <c r="I65" s="47">
        <v>6</v>
      </c>
      <c r="J65" s="22">
        <f>IF(I65=0.5,G65,I65*G65)</f>
        <v>6</v>
      </c>
      <c r="K65" s="50">
        <v>0</v>
      </c>
      <c r="L65" s="50">
        <v>1</v>
      </c>
      <c r="M65" s="50">
        <v>0</v>
      </c>
      <c r="N65" s="50">
        <v>1</v>
      </c>
      <c r="O65" s="50">
        <v>0</v>
      </c>
      <c r="P65" s="50">
        <v>1</v>
      </c>
      <c r="Q65" s="50">
        <v>0</v>
      </c>
      <c r="R65" s="50">
        <v>1</v>
      </c>
      <c r="S65" s="50">
        <v>0</v>
      </c>
      <c r="T65" s="50">
        <v>1</v>
      </c>
      <c r="U65" s="50">
        <v>0</v>
      </c>
      <c r="V65" s="50">
        <v>1</v>
      </c>
    </row>
    <row r="66" spans="1:22" ht="90" x14ac:dyDescent="0.3">
      <c r="A66" s="47">
        <v>48</v>
      </c>
      <c r="B66" s="71" t="s">
        <v>198</v>
      </c>
      <c r="C66" s="48" t="s">
        <v>209</v>
      </c>
      <c r="D66" s="49" t="s">
        <v>210</v>
      </c>
      <c r="E66" s="71" t="s">
        <v>216</v>
      </c>
      <c r="F66" s="71" t="s">
        <v>217</v>
      </c>
      <c r="G66" s="73">
        <v>1</v>
      </c>
      <c r="H66" s="72" t="s">
        <v>213</v>
      </c>
      <c r="I66" s="74">
        <v>2</v>
      </c>
      <c r="J66" s="22">
        <f>IF(I66=0.5,G66,I66*G66)</f>
        <v>2</v>
      </c>
      <c r="K66" s="75">
        <v>0</v>
      </c>
      <c r="L66" s="75">
        <v>0</v>
      </c>
      <c r="M66" s="75">
        <v>1</v>
      </c>
      <c r="N66" s="75">
        <v>0</v>
      </c>
      <c r="O66" s="75">
        <v>0</v>
      </c>
      <c r="P66" s="75">
        <v>0</v>
      </c>
      <c r="Q66" s="75">
        <v>0</v>
      </c>
      <c r="R66" s="75">
        <v>0</v>
      </c>
      <c r="S66" s="75">
        <v>0</v>
      </c>
      <c r="T66" s="75">
        <v>0</v>
      </c>
      <c r="U66" s="75">
        <v>1</v>
      </c>
      <c r="V66" s="75">
        <v>0</v>
      </c>
    </row>
    <row r="67" spans="1:22" ht="90" x14ac:dyDescent="0.3">
      <c r="A67" s="47">
        <v>49</v>
      </c>
      <c r="B67" s="71" t="s">
        <v>198</v>
      </c>
      <c r="C67" s="48" t="s">
        <v>209</v>
      </c>
      <c r="D67" s="49" t="s">
        <v>210</v>
      </c>
      <c r="E67" s="71" t="s">
        <v>218</v>
      </c>
      <c r="F67" s="76" t="s">
        <v>219</v>
      </c>
      <c r="G67" s="73">
        <v>1</v>
      </c>
      <c r="H67" s="72" t="s">
        <v>213</v>
      </c>
      <c r="I67" s="44">
        <v>1</v>
      </c>
      <c r="J67" s="22">
        <f>IF(I67=0.5,G67,I67*G67)</f>
        <v>1</v>
      </c>
      <c r="K67" s="75">
        <v>0</v>
      </c>
      <c r="L67" s="75">
        <v>0</v>
      </c>
      <c r="M67" s="75">
        <v>1</v>
      </c>
      <c r="N67" s="75">
        <v>0</v>
      </c>
      <c r="O67" s="75">
        <v>0</v>
      </c>
      <c r="P67" s="75">
        <v>0</v>
      </c>
      <c r="Q67" s="75">
        <v>0</v>
      </c>
      <c r="R67" s="75">
        <v>0</v>
      </c>
      <c r="S67" s="75">
        <v>0</v>
      </c>
      <c r="T67" s="75">
        <v>0</v>
      </c>
      <c r="U67" s="75">
        <v>0</v>
      </c>
      <c r="V67" s="75">
        <v>0</v>
      </c>
    </row>
    <row r="68" spans="1:22" x14ac:dyDescent="0.3">
      <c r="A68" s="65"/>
      <c r="B68" s="16"/>
      <c r="C68" s="66" t="s">
        <v>220</v>
      </c>
      <c r="D68" s="44"/>
      <c r="E68" s="23"/>
      <c r="F68" s="23"/>
      <c r="G68" s="23"/>
      <c r="H68" s="23"/>
      <c r="I68" s="23"/>
      <c r="J68" s="23"/>
      <c r="K68" s="23"/>
      <c r="L68" s="23"/>
      <c r="M68" s="23"/>
      <c r="N68" s="23"/>
      <c r="O68" s="53"/>
      <c r="P68" s="53"/>
      <c r="Q68" s="53"/>
      <c r="R68" s="54"/>
      <c r="S68" s="53"/>
      <c r="T68" s="54"/>
      <c r="U68" s="54"/>
      <c r="V68" s="46"/>
    </row>
    <row r="69" spans="1:22" ht="300" x14ac:dyDescent="0.3">
      <c r="A69" s="47">
        <v>50</v>
      </c>
      <c r="B69" s="71" t="s">
        <v>198</v>
      </c>
      <c r="C69" s="77" t="s">
        <v>221</v>
      </c>
      <c r="D69" s="49" t="s">
        <v>222</v>
      </c>
      <c r="E69" s="77" t="s">
        <v>223</v>
      </c>
      <c r="F69" s="49" t="s">
        <v>224</v>
      </c>
      <c r="G69" s="78">
        <v>45</v>
      </c>
      <c r="H69" s="79" t="s">
        <v>225</v>
      </c>
      <c r="I69" s="80">
        <v>1</v>
      </c>
      <c r="J69" s="22">
        <f>IF(I69=0.5,G69,I69*G69)</f>
        <v>45</v>
      </c>
      <c r="K69" s="75">
        <v>0</v>
      </c>
      <c r="L69" s="75">
        <v>0</v>
      </c>
      <c r="M69" s="75">
        <v>45</v>
      </c>
      <c r="N69" s="75">
        <v>0</v>
      </c>
      <c r="O69" s="75">
        <v>0</v>
      </c>
      <c r="P69" s="75">
        <v>0</v>
      </c>
      <c r="Q69" s="75">
        <v>0</v>
      </c>
      <c r="R69" s="75">
        <v>0</v>
      </c>
      <c r="S69" s="75">
        <v>0</v>
      </c>
      <c r="T69" s="75">
        <v>0</v>
      </c>
      <c r="U69" s="75">
        <v>45</v>
      </c>
      <c r="V69" s="75">
        <v>0</v>
      </c>
    </row>
    <row r="70" spans="1:22" ht="90" x14ac:dyDescent="0.3">
      <c r="A70" s="47">
        <v>51</v>
      </c>
      <c r="B70" s="71" t="s">
        <v>198</v>
      </c>
      <c r="C70" s="77" t="s">
        <v>221</v>
      </c>
      <c r="D70" s="49" t="s">
        <v>222</v>
      </c>
      <c r="E70" s="77" t="s">
        <v>226</v>
      </c>
      <c r="F70" s="77" t="s">
        <v>227</v>
      </c>
      <c r="G70" s="78">
        <v>45</v>
      </c>
      <c r="H70" s="79" t="s">
        <v>225</v>
      </c>
      <c r="I70" s="80">
        <v>2</v>
      </c>
      <c r="J70" s="22">
        <f>IF(I70=0.5,G70,I70*G70)</f>
        <v>90</v>
      </c>
      <c r="K70" s="75">
        <v>0</v>
      </c>
      <c r="L70" s="75">
        <v>0</v>
      </c>
      <c r="M70" s="75">
        <v>45</v>
      </c>
      <c r="N70" s="75">
        <v>0</v>
      </c>
      <c r="O70" s="75">
        <v>0</v>
      </c>
      <c r="P70" s="75">
        <v>0</v>
      </c>
      <c r="Q70" s="75">
        <v>0</v>
      </c>
      <c r="R70" s="75">
        <v>0</v>
      </c>
      <c r="S70" s="75">
        <v>0</v>
      </c>
      <c r="T70" s="75">
        <v>0</v>
      </c>
      <c r="U70" s="75">
        <v>0</v>
      </c>
      <c r="V70" s="75">
        <v>0</v>
      </c>
    </row>
    <row r="71" spans="1:22" x14ac:dyDescent="0.3">
      <c r="A71" s="47"/>
      <c r="B71" s="16"/>
      <c r="C71" s="81" t="s">
        <v>228</v>
      </c>
      <c r="D71" s="44"/>
      <c r="E71" s="23"/>
      <c r="F71" s="26"/>
      <c r="G71" s="23"/>
      <c r="H71" s="23"/>
      <c r="I71" s="23"/>
      <c r="J71" s="23"/>
      <c r="K71" s="23"/>
      <c r="L71" s="23"/>
      <c r="M71" s="23"/>
      <c r="N71" s="23"/>
      <c r="O71" s="53"/>
      <c r="P71" s="53"/>
      <c r="Q71" s="53"/>
      <c r="R71" s="54"/>
      <c r="S71" s="53"/>
      <c r="T71" s="54"/>
      <c r="U71" s="54"/>
      <c r="V71" s="46"/>
    </row>
    <row r="72" spans="1:22" ht="90" x14ac:dyDescent="0.3">
      <c r="A72" s="47">
        <v>52</v>
      </c>
      <c r="B72" s="48" t="s">
        <v>198</v>
      </c>
      <c r="C72" s="48" t="s">
        <v>229</v>
      </c>
      <c r="D72" s="48" t="s">
        <v>230</v>
      </c>
      <c r="E72" s="48" t="s">
        <v>231</v>
      </c>
      <c r="F72" s="48" t="s">
        <v>232</v>
      </c>
      <c r="G72" s="73">
        <v>45</v>
      </c>
      <c r="H72" s="82" t="s">
        <v>225</v>
      </c>
      <c r="I72" s="73">
        <v>3</v>
      </c>
      <c r="J72" s="22">
        <f t="shared" ref="J72:J87" si="0">IF(I72=0.5,G72,I72*G72)</f>
        <v>135</v>
      </c>
      <c r="K72" s="50">
        <v>0</v>
      </c>
      <c r="L72" s="50">
        <v>0</v>
      </c>
      <c r="M72" s="50">
        <v>0</v>
      </c>
      <c r="N72" s="50">
        <v>45</v>
      </c>
      <c r="O72" s="50">
        <v>0</v>
      </c>
      <c r="P72" s="50">
        <v>0</v>
      </c>
      <c r="Q72" s="50">
        <v>0</v>
      </c>
      <c r="R72" s="50">
        <v>45</v>
      </c>
      <c r="S72" s="50">
        <v>0</v>
      </c>
      <c r="T72" s="50">
        <v>0</v>
      </c>
      <c r="U72" s="50">
        <v>0</v>
      </c>
      <c r="V72" s="50">
        <v>45</v>
      </c>
    </row>
    <row r="73" spans="1:22" ht="165" x14ac:dyDescent="0.3">
      <c r="A73" s="47">
        <v>53</v>
      </c>
      <c r="B73" s="48" t="s">
        <v>198</v>
      </c>
      <c r="C73" s="48" t="s">
        <v>229</v>
      </c>
      <c r="D73" s="48" t="s">
        <v>230</v>
      </c>
      <c r="E73" s="48" t="s">
        <v>233</v>
      </c>
      <c r="F73" s="49" t="s">
        <v>234</v>
      </c>
      <c r="G73" s="47">
        <v>45</v>
      </c>
      <c r="H73" s="82" t="s">
        <v>225</v>
      </c>
      <c r="I73" s="47">
        <v>2</v>
      </c>
      <c r="J73" s="22">
        <f t="shared" si="0"/>
        <v>90</v>
      </c>
      <c r="K73" s="50">
        <v>0</v>
      </c>
      <c r="L73" s="50">
        <v>0</v>
      </c>
      <c r="M73" s="50">
        <v>0</v>
      </c>
      <c r="N73" s="50">
        <v>0</v>
      </c>
      <c r="O73" s="50">
        <v>45</v>
      </c>
      <c r="P73" s="50">
        <v>0</v>
      </c>
      <c r="Q73" s="50">
        <v>0</v>
      </c>
      <c r="R73" s="50">
        <v>0</v>
      </c>
      <c r="S73" s="50">
        <v>0</v>
      </c>
      <c r="T73" s="50">
        <v>0</v>
      </c>
      <c r="U73" s="50">
        <v>45</v>
      </c>
      <c r="V73" s="50">
        <v>0</v>
      </c>
    </row>
    <row r="74" spans="1:22" x14ac:dyDescent="0.3">
      <c r="A74" s="47"/>
      <c r="B74" s="16"/>
      <c r="C74" s="81" t="s">
        <v>235</v>
      </c>
      <c r="D74" s="44"/>
      <c r="E74" s="23"/>
      <c r="F74" s="26"/>
      <c r="G74" s="23"/>
      <c r="H74" s="23"/>
      <c r="I74" s="23"/>
      <c r="J74" s="23"/>
      <c r="K74" s="23"/>
      <c r="L74" s="23"/>
      <c r="M74" s="23"/>
      <c r="N74" s="23"/>
      <c r="O74" s="53"/>
      <c r="P74" s="53"/>
      <c r="Q74" s="53"/>
      <c r="R74" s="54"/>
      <c r="S74" s="53"/>
      <c r="T74" s="54"/>
      <c r="U74" s="54"/>
      <c r="V74" s="46"/>
    </row>
    <row r="75" spans="1:22" ht="60" x14ac:dyDescent="0.3">
      <c r="A75" s="47">
        <v>54</v>
      </c>
      <c r="B75" s="48" t="s">
        <v>198</v>
      </c>
      <c r="C75" s="48" t="s">
        <v>236</v>
      </c>
      <c r="D75" s="49" t="s">
        <v>237</v>
      </c>
      <c r="E75" s="49" t="s">
        <v>238</v>
      </c>
      <c r="F75" s="49" t="s">
        <v>239</v>
      </c>
      <c r="G75" s="47">
        <v>24</v>
      </c>
      <c r="H75" s="72" t="s">
        <v>156</v>
      </c>
      <c r="I75" s="47">
        <v>12</v>
      </c>
      <c r="J75" s="22">
        <f t="shared" si="0"/>
        <v>288</v>
      </c>
      <c r="K75" s="50">
        <v>24</v>
      </c>
      <c r="L75" s="50">
        <v>24</v>
      </c>
      <c r="M75" s="50">
        <v>24</v>
      </c>
      <c r="N75" s="50">
        <v>24</v>
      </c>
      <c r="O75" s="50">
        <v>24</v>
      </c>
      <c r="P75" s="50">
        <v>24</v>
      </c>
      <c r="Q75" s="50">
        <v>24</v>
      </c>
      <c r="R75" s="50">
        <v>24</v>
      </c>
      <c r="S75" s="50">
        <v>24</v>
      </c>
      <c r="T75" s="50">
        <v>24</v>
      </c>
      <c r="U75" s="50">
        <v>24</v>
      </c>
      <c r="V75" s="50">
        <v>24</v>
      </c>
    </row>
    <row r="76" spans="1:22" ht="30" x14ac:dyDescent="0.3">
      <c r="A76" s="47">
        <v>55</v>
      </c>
      <c r="B76" s="48" t="s">
        <v>198</v>
      </c>
      <c r="C76" s="48" t="s">
        <v>236</v>
      </c>
      <c r="D76" s="49" t="s">
        <v>237</v>
      </c>
      <c r="E76" s="48" t="s">
        <v>240</v>
      </c>
      <c r="F76" s="49" t="s">
        <v>241</v>
      </c>
      <c r="G76" s="47">
        <v>24</v>
      </c>
      <c r="H76" s="72" t="s">
        <v>156</v>
      </c>
      <c r="I76" s="47">
        <v>3</v>
      </c>
      <c r="J76" s="22">
        <f t="shared" si="0"/>
        <v>72</v>
      </c>
      <c r="K76" s="50">
        <v>0</v>
      </c>
      <c r="L76" s="50">
        <v>0</v>
      </c>
      <c r="M76" s="50">
        <v>24</v>
      </c>
      <c r="N76" s="50">
        <v>0</v>
      </c>
      <c r="O76" s="50">
        <v>0</v>
      </c>
      <c r="P76" s="50">
        <v>0</v>
      </c>
      <c r="Q76" s="50">
        <v>24</v>
      </c>
      <c r="R76" s="50">
        <v>0</v>
      </c>
      <c r="S76" s="50">
        <v>0</v>
      </c>
      <c r="T76" s="50">
        <v>0</v>
      </c>
      <c r="U76" s="50">
        <v>24</v>
      </c>
      <c r="V76" s="50">
        <v>0</v>
      </c>
    </row>
    <row r="77" spans="1:22" ht="60" x14ac:dyDescent="0.3">
      <c r="A77" s="47">
        <v>56</v>
      </c>
      <c r="B77" s="48" t="s">
        <v>198</v>
      </c>
      <c r="C77" s="48" t="s">
        <v>236</v>
      </c>
      <c r="D77" s="49" t="s">
        <v>237</v>
      </c>
      <c r="E77" s="48" t="s">
        <v>242</v>
      </c>
      <c r="F77" s="49" t="s">
        <v>243</v>
      </c>
      <c r="G77" s="47">
        <v>99</v>
      </c>
      <c r="H77" s="72" t="s">
        <v>156</v>
      </c>
      <c r="I77" s="47">
        <v>2</v>
      </c>
      <c r="J77" s="22">
        <f>IF(I77=0.5,G77,I77*G77)</f>
        <v>198</v>
      </c>
      <c r="K77" s="50">
        <v>99</v>
      </c>
      <c r="L77" s="75">
        <v>0</v>
      </c>
      <c r="M77" s="75">
        <v>0</v>
      </c>
      <c r="N77" s="75">
        <v>0</v>
      </c>
      <c r="O77" s="75">
        <v>0</v>
      </c>
      <c r="P77" s="75">
        <v>0</v>
      </c>
      <c r="Q77" s="75">
        <v>0</v>
      </c>
      <c r="R77" s="75">
        <v>0</v>
      </c>
      <c r="S77" s="75">
        <v>99</v>
      </c>
      <c r="T77" s="75">
        <v>0</v>
      </c>
      <c r="U77" s="75">
        <v>0</v>
      </c>
      <c r="V77" s="75">
        <v>0</v>
      </c>
    </row>
    <row r="78" spans="1:22" x14ac:dyDescent="0.3">
      <c r="A78" s="47"/>
      <c r="B78" s="16"/>
      <c r="C78" s="81" t="s">
        <v>244</v>
      </c>
      <c r="D78" s="44"/>
      <c r="E78" s="23"/>
      <c r="F78" s="26"/>
      <c r="G78" s="23"/>
      <c r="H78" s="23"/>
      <c r="I78" s="23"/>
      <c r="J78" s="23"/>
      <c r="K78" s="23"/>
      <c r="L78" s="23"/>
      <c r="M78" s="23"/>
      <c r="N78" s="23"/>
      <c r="O78" s="53"/>
      <c r="P78" s="53"/>
      <c r="Q78" s="53"/>
      <c r="R78" s="54"/>
      <c r="S78" s="53"/>
      <c r="T78" s="54"/>
      <c r="U78" s="54"/>
      <c r="V78" s="46"/>
    </row>
    <row r="79" spans="1:22" ht="409.5" x14ac:dyDescent="0.3">
      <c r="A79" s="47">
        <v>57</v>
      </c>
      <c r="B79" s="49" t="s">
        <v>245</v>
      </c>
      <c r="C79" s="48" t="s">
        <v>245</v>
      </c>
      <c r="D79" s="49" t="s">
        <v>246</v>
      </c>
      <c r="E79" s="49" t="s">
        <v>247</v>
      </c>
      <c r="F79" s="49" t="s">
        <v>248</v>
      </c>
      <c r="G79" s="47">
        <v>2</v>
      </c>
      <c r="H79" s="72" t="s">
        <v>249</v>
      </c>
      <c r="I79" s="47">
        <v>12</v>
      </c>
      <c r="J79" s="22">
        <f t="shared" si="0"/>
        <v>24</v>
      </c>
      <c r="K79" s="75">
        <v>2</v>
      </c>
      <c r="L79" s="50">
        <v>2</v>
      </c>
      <c r="M79" s="50">
        <v>2</v>
      </c>
      <c r="N79" s="50">
        <v>2</v>
      </c>
      <c r="O79" s="75">
        <v>2</v>
      </c>
      <c r="P79" s="75">
        <v>2</v>
      </c>
      <c r="Q79" s="75">
        <v>2</v>
      </c>
      <c r="R79" s="75">
        <v>2</v>
      </c>
      <c r="S79" s="75">
        <v>2</v>
      </c>
      <c r="T79" s="75">
        <v>2</v>
      </c>
      <c r="U79" s="75">
        <v>2</v>
      </c>
      <c r="V79" s="75">
        <v>2</v>
      </c>
    </row>
    <row r="80" spans="1:22" ht="45" x14ac:dyDescent="0.3">
      <c r="A80" s="47">
        <v>37</v>
      </c>
      <c r="B80" s="49" t="s">
        <v>245</v>
      </c>
      <c r="C80" s="48" t="s">
        <v>245</v>
      </c>
      <c r="D80" s="49" t="s">
        <v>246</v>
      </c>
      <c r="E80" s="76" t="s">
        <v>250</v>
      </c>
      <c r="F80" s="83" t="s">
        <v>251</v>
      </c>
      <c r="G80" s="84">
        <v>1</v>
      </c>
      <c r="H80" s="85" t="s">
        <v>252</v>
      </c>
      <c r="I80" s="47">
        <v>1</v>
      </c>
      <c r="J80" s="22">
        <f t="shared" si="0"/>
        <v>1</v>
      </c>
      <c r="K80" s="50"/>
      <c r="L80" s="50"/>
      <c r="M80" s="50"/>
      <c r="N80" s="50"/>
      <c r="O80" s="50"/>
      <c r="P80" s="50"/>
      <c r="Q80" s="86"/>
      <c r="R80" s="86">
        <v>1</v>
      </c>
      <c r="S80" s="86"/>
      <c r="T80" s="86"/>
      <c r="U80" s="86"/>
      <c r="V80" s="86"/>
    </row>
    <row r="81" spans="1:22" ht="345" x14ac:dyDescent="0.3">
      <c r="A81" s="47">
        <v>58</v>
      </c>
      <c r="B81" s="49" t="s">
        <v>245</v>
      </c>
      <c r="C81" s="48" t="s">
        <v>245</v>
      </c>
      <c r="D81" s="49" t="s">
        <v>246</v>
      </c>
      <c r="E81" s="76" t="s">
        <v>253</v>
      </c>
      <c r="F81" s="48" t="s">
        <v>254</v>
      </c>
      <c r="G81" s="84">
        <v>1</v>
      </c>
      <c r="H81" s="85" t="s">
        <v>245</v>
      </c>
      <c r="I81" s="47">
        <v>1</v>
      </c>
      <c r="J81" s="22">
        <f t="shared" si="0"/>
        <v>1</v>
      </c>
      <c r="K81" s="50">
        <v>0</v>
      </c>
      <c r="L81" s="50">
        <v>0</v>
      </c>
      <c r="M81" s="50">
        <v>0</v>
      </c>
      <c r="N81" s="50">
        <v>0</v>
      </c>
      <c r="O81" s="50">
        <v>0</v>
      </c>
      <c r="P81" s="50">
        <v>0</v>
      </c>
      <c r="Q81" s="50">
        <v>0</v>
      </c>
      <c r="R81" s="50">
        <v>0</v>
      </c>
      <c r="S81" s="50">
        <v>0</v>
      </c>
      <c r="T81" s="50">
        <v>1</v>
      </c>
      <c r="U81" s="50">
        <v>0</v>
      </c>
      <c r="V81" s="50">
        <v>0</v>
      </c>
    </row>
    <row r="82" spans="1:22" x14ac:dyDescent="0.3">
      <c r="A82" s="47"/>
      <c r="B82" s="16"/>
      <c r="C82" s="81" t="s">
        <v>255</v>
      </c>
      <c r="D82" s="44"/>
      <c r="E82" s="23"/>
      <c r="F82" s="26"/>
      <c r="G82" s="23"/>
      <c r="H82" s="23"/>
      <c r="I82" s="23"/>
      <c r="J82" s="23"/>
      <c r="K82" s="23"/>
      <c r="L82" s="23"/>
      <c r="M82" s="23"/>
      <c r="N82" s="23"/>
      <c r="O82" s="53"/>
      <c r="P82" s="53"/>
      <c r="Q82" s="53"/>
      <c r="R82" s="54"/>
      <c r="S82" s="53"/>
      <c r="T82" s="54"/>
      <c r="U82" s="54"/>
      <c r="V82" s="46"/>
    </row>
    <row r="83" spans="1:22" ht="285.75" thickBot="1" x14ac:dyDescent="0.35">
      <c r="A83" s="47">
        <v>59</v>
      </c>
      <c r="B83" s="83" t="s">
        <v>245</v>
      </c>
      <c r="C83" s="76" t="s">
        <v>256</v>
      </c>
      <c r="D83" s="87" t="s">
        <v>257</v>
      </c>
      <c r="E83" s="76" t="s">
        <v>258</v>
      </c>
      <c r="F83" s="48" t="s">
        <v>259</v>
      </c>
      <c r="G83" s="84">
        <v>2</v>
      </c>
      <c r="H83" s="85" t="s">
        <v>138</v>
      </c>
      <c r="I83" s="47">
        <v>2</v>
      </c>
      <c r="J83" s="22">
        <f t="shared" si="0"/>
        <v>4</v>
      </c>
      <c r="K83" s="50">
        <v>0</v>
      </c>
      <c r="L83" s="50">
        <v>0</v>
      </c>
      <c r="M83" s="50">
        <v>0</v>
      </c>
      <c r="N83" s="50">
        <v>2</v>
      </c>
      <c r="O83" s="50">
        <v>0</v>
      </c>
      <c r="P83" s="50">
        <v>0</v>
      </c>
      <c r="Q83" s="50">
        <v>0</v>
      </c>
      <c r="R83" s="50">
        <v>0</v>
      </c>
      <c r="S83" s="50">
        <v>0</v>
      </c>
      <c r="T83" s="50">
        <v>2</v>
      </c>
      <c r="U83" s="50">
        <v>0</v>
      </c>
      <c r="V83" s="50">
        <v>0</v>
      </c>
    </row>
    <row r="84" spans="1:22" x14ac:dyDescent="0.3">
      <c r="A84" s="47"/>
      <c r="B84" s="16"/>
      <c r="C84" s="81" t="s">
        <v>260</v>
      </c>
      <c r="D84" s="44"/>
      <c r="E84" s="23"/>
      <c r="F84" s="27"/>
      <c r="G84" s="23"/>
      <c r="H84" s="23"/>
      <c r="I84" s="23"/>
      <c r="J84" s="23"/>
      <c r="K84" s="23"/>
      <c r="L84" s="23"/>
      <c r="M84" s="23"/>
      <c r="N84" s="23"/>
      <c r="O84" s="53"/>
      <c r="P84" s="53"/>
      <c r="Q84" s="53"/>
      <c r="R84" s="54"/>
      <c r="S84" s="53"/>
      <c r="T84" s="54"/>
      <c r="U84" s="54"/>
      <c r="V84" s="46"/>
    </row>
    <row r="85" spans="1:22" ht="360.75" thickBot="1" x14ac:dyDescent="0.35">
      <c r="A85" s="47">
        <v>60</v>
      </c>
      <c r="B85" s="83" t="s">
        <v>245</v>
      </c>
      <c r="C85" s="76" t="s">
        <v>261</v>
      </c>
      <c r="D85" s="87" t="s">
        <v>262</v>
      </c>
      <c r="E85" s="88" t="s">
        <v>263</v>
      </c>
      <c r="F85" s="48" t="s">
        <v>264</v>
      </c>
      <c r="G85" s="89">
        <v>2</v>
      </c>
      <c r="H85" s="85" t="s">
        <v>138</v>
      </c>
      <c r="I85" s="47">
        <v>1</v>
      </c>
      <c r="J85" s="22">
        <f t="shared" si="0"/>
        <v>2</v>
      </c>
      <c r="K85" s="50">
        <v>0</v>
      </c>
      <c r="L85" s="50">
        <v>0</v>
      </c>
      <c r="M85" s="50">
        <v>0</v>
      </c>
      <c r="N85" s="50">
        <v>0</v>
      </c>
      <c r="O85" s="50">
        <v>0</v>
      </c>
      <c r="P85" s="50">
        <v>0</v>
      </c>
      <c r="Q85" s="50">
        <v>0</v>
      </c>
      <c r="R85" s="50">
        <v>0</v>
      </c>
      <c r="S85" s="50">
        <v>0</v>
      </c>
      <c r="T85" s="50">
        <v>2</v>
      </c>
      <c r="U85" s="50">
        <v>0</v>
      </c>
      <c r="V85" s="50">
        <v>0</v>
      </c>
    </row>
    <row r="86" spans="1:22" x14ac:dyDescent="0.3">
      <c r="A86" s="47"/>
      <c r="B86" s="16"/>
      <c r="C86" s="81" t="s">
        <v>265</v>
      </c>
      <c r="D86" s="44"/>
      <c r="E86" s="23"/>
      <c r="F86" s="26"/>
      <c r="G86" s="23"/>
      <c r="H86" s="23"/>
      <c r="I86" s="23"/>
      <c r="J86" s="23"/>
      <c r="K86" s="23"/>
      <c r="L86" s="23"/>
      <c r="M86" s="23"/>
      <c r="N86" s="23"/>
      <c r="O86" s="53"/>
      <c r="P86" s="53"/>
      <c r="Q86" s="53"/>
      <c r="R86" s="54"/>
      <c r="S86" s="53"/>
      <c r="T86" s="54"/>
      <c r="U86" s="54"/>
      <c r="V86" s="46"/>
    </row>
    <row r="87" spans="1:22" ht="285.75" thickBot="1" x14ac:dyDescent="0.35">
      <c r="A87" s="47">
        <v>61</v>
      </c>
      <c r="B87" s="83" t="s">
        <v>245</v>
      </c>
      <c r="C87" s="76" t="s">
        <v>266</v>
      </c>
      <c r="D87" s="87" t="s">
        <v>267</v>
      </c>
      <c r="E87" s="76" t="s">
        <v>268</v>
      </c>
      <c r="F87" s="76" t="s">
        <v>269</v>
      </c>
      <c r="G87" s="84">
        <v>2</v>
      </c>
      <c r="H87" s="85" t="s">
        <v>138</v>
      </c>
      <c r="I87" s="47">
        <v>1</v>
      </c>
      <c r="J87" s="22">
        <f t="shared" si="0"/>
        <v>2</v>
      </c>
      <c r="K87" s="50">
        <v>0</v>
      </c>
      <c r="L87" s="50">
        <v>0</v>
      </c>
      <c r="M87" s="50">
        <v>0</v>
      </c>
      <c r="N87" s="50">
        <v>0</v>
      </c>
      <c r="O87" s="50">
        <v>0</v>
      </c>
      <c r="P87" s="50">
        <v>0</v>
      </c>
      <c r="Q87" s="50">
        <v>0</v>
      </c>
      <c r="R87" s="50">
        <v>0</v>
      </c>
      <c r="S87" s="50">
        <v>0</v>
      </c>
      <c r="T87" s="50">
        <v>2</v>
      </c>
      <c r="U87" s="50">
        <v>0</v>
      </c>
      <c r="V87" s="50">
        <v>0</v>
      </c>
    </row>
    <row r="88" spans="1:22" x14ac:dyDescent="0.3">
      <c r="A88" s="65"/>
      <c r="B88" s="16"/>
      <c r="C88" s="66" t="s">
        <v>270</v>
      </c>
      <c r="D88" s="44"/>
      <c r="E88" s="23"/>
      <c r="F88" s="23"/>
      <c r="G88" s="23"/>
      <c r="H88" s="23"/>
      <c r="I88" s="23"/>
      <c r="J88" s="23"/>
      <c r="K88" s="23"/>
      <c r="L88" s="23"/>
      <c r="M88" s="23"/>
      <c r="N88" s="23"/>
      <c r="O88" s="53"/>
      <c r="P88" s="53"/>
      <c r="Q88" s="53"/>
      <c r="R88" s="54"/>
      <c r="S88" s="53"/>
      <c r="T88" s="54"/>
      <c r="U88" s="54"/>
      <c r="V88" s="46"/>
    </row>
    <row r="89" spans="1:22" ht="75" x14ac:dyDescent="0.3">
      <c r="A89" s="47">
        <v>62</v>
      </c>
      <c r="B89" s="71" t="s">
        <v>271</v>
      </c>
      <c r="C89" s="49" t="s">
        <v>272</v>
      </c>
      <c r="D89" s="49" t="s">
        <v>273</v>
      </c>
      <c r="E89" s="49" t="s">
        <v>274</v>
      </c>
      <c r="F89" s="49" t="s">
        <v>275</v>
      </c>
      <c r="G89" s="47">
        <v>1</v>
      </c>
      <c r="H89" s="72" t="s">
        <v>276</v>
      </c>
      <c r="I89" s="47">
        <v>12</v>
      </c>
      <c r="J89" s="22">
        <f>IF(I89=0.5,G89,I89*G89)</f>
        <v>12</v>
      </c>
      <c r="K89" s="50">
        <v>1</v>
      </c>
      <c r="L89" s="50">
        <v>1</v>
      </c>
      <c r="M89" s="50">
        <v>1</v>
      </c>
      <c r="N89" s="50">
        <v>1</v>
      </c>
      <c r="O89" s="50">
        <v>1</v>
      </c>
      <c r="P89" s="50">
        <v>1</v>
      </c>
      <c r="Q89" s="50">
        <v>1</v>
      </c>
      <c r="R89" s="50">
        <v>1</v>
      </c>
      <c r="S89" s="50">
        <v>1</v>
      </c>
      <c r="T89" s="50">
        <v>1</v>
      </c>
      <c r="U89" s="50">
        <v>1</v>
      </c>
      <c r="V89" s="50">
        <v>1</v>
      </c>
    </row>
  </sheetData>
  <mergeCells count="1">
    <mergeCell ref="A1:V1"/>
  </mergeCells>
  <conditionalFormatting sqref="E9:N9">
    <cfRule type="colorScale" priority="23">
      <colorScale>
        <cfvo type="num" val="0"/>
        <cfvo type="num" val="0.5"/>
        <cfvo type="num" val="1"/>
        <color rgb="FFF8696B"/>
        <color rgb="FFFFEB84"/>
        <color rgb="FF63BE7B"/>
      </colorScale>
    </cfRule>
  </conditionalFormatting>
  <conditionalFormatting sqref="E12:N12">
    <cfRule type="colorScale" priority="19">
      <colorScale>
        <cfvo type="num" val="0"/>
        <cfvo type="num" val="0.5"/>
        <cfvo type="num" val="1"/>
        <color rgb="FFF8696B"/>
        <color rgb="FFFFEB84"/>
        <color rgb="FF63BE7B"/>
      </colorScale>
    </cfRule>
  </conditionalFormatting>
  <conditionalFormatting sqref="E15:N15">
    <cfRule type="colorScale" priority="18">
      <colorScale>
        <cfvo type="num" val="0"/>
        <cfvo type="num" val="0.5"/>
        <cfvo type="num" val="1"/>
        <color rgb="FFF8696B"/>
        <color rgb="FFFFEB84"/>
        <color rgb="FF63BE7B"/>
      </colorScale>
    </cfRule>
  </conditionalFormatting>
  <conditionalFormatting sqref="E20:N20">
    <cfRule type="colorScale" priority="22">
      <colorScale>
        <cfvo type="num" val="0"/>
        <cfvo type="num" val="0.5"/>
        <cfvo type="num" val="1"/>
        <color rgb="FFF8696B"/>
        <color rgb="FFFFEB84"/>
        <color rgb="FF63BE7B"/>
      </colorScale>
    </cfRule>
  </conditionalFormatting>
  <conditionalFormatting sqref="E24:N24">
    <cfRule type="colorScale" priority="21">
      <colorScale>
        <cfvo type="num" val="0"/>
        <cfvo type="num" val="0.5"/>
        <cfvo type="num" val="1"/>
        <color rgb="FFF8696B"/>
        <color rgb="FFFFEB84"/>
        <color rgb="FF63BE7B"/>
      </colorScale>
    </cfRule>
  </conditionalFormatting>
  <conditionalFormatting sqref="E28:N28">
    <cfRule type="colorScale" priority="9">
      <colorScale>
        <cfvo type="num" val="0"/>
        <cfvo type="num" val="0.5"/>
        <cfvo type="num" val="1"/>
        <color rgb="FFF8696B"/>
        <color rgb="FFFFEB84"/>
        <color rgb="FF63BE7B"/>
      </colorScale>
    </cfRule>
  </conditionalFormatting>
  <conditionalFormatting sqref="E33:N33">
    <cfRule type="colorScale" priority="8">
      <colorScale>
        <cfvo type="num" val="0"/>
        <cfvo type="num" val="0.5"/>
        <cfvo type="num" val="1"/>
        <color rgb="FFF8696B"/>
        <color rgb="FFFFEB84"/>
        <color rgb="FF63BE7B"/>
      </colorScale>
    </cfRule>
  </conditionalFormatting>
  <conditionalFormatting sqref="E37:N37">
    <cfRule type="colorScale" priority="7">
      <colorScale>
        <cfvo type="num" val="0"/>
        <cfvo type="num" val="0.5"/>
        <cfvo type="num" val="1"/>
        <color rgb="FFF8696B"/>
        <color rgb="FFFFEB84"/>
        <color rgb="FF63BE7B"/>
      </colorScale>
    </cfRule>
  </conditionalFormatting>
  <conditionalFormatting sqref="E40:N40">
    <cfRule type="colorScale" priority="6">
      <colorScale>
        <cfvo type="num" val="0"/>
        <cfvo type="num" val="0.5"/>
        <cfvo type="num" val="1"/>
        <color rgb="FFF8696B"/>
        <color rgb="FFFFEB84"/>
        <color rgb="FF63BE7B"/>
      </colorScale>
    </cfRule>
  </conditionalFormatting>
  <conditionalFormatting sqref="E42:N42">
    <cfRule type="colorScale" priority="2">
      <colorScale>
        <cfvo type="num" val="0"/>
        <cfvo type="num" val="0.5"/>
        <cfvo type="num" val="1"/>
        <color rgb="FFF8696B"/>
        <color rgb="FFFFEB84"/>
        <color rgb="FF63BE7B"/>
      </colorScale>
    </cfRule>
  </conditionalFormatting>
  <conditionalFormatting sqref="E45:N45">
    <cfRule type="colorScale" priority="5">
      <colorScale>
        <cfvo type="num" val="0"/>
        <cfvo type="num" val="0.5"/>
        <cfvo type="num" val="1"/>
        <color rgb="FFF8696B"/>
        <color rgb="FFFFEB84"/>
        <color rgb="FF63BE7B"/>
      </colorScale>
    </cfRule>
  </conditionalFormatting>
  <conditionalFormatting sqref="E49:N49">
    <cfRule type="colorScale" priority="4">
      <colorScale>
        <cfvo type="num" val="0"/>
        <cfvo type="num" val="0.5"/>
        <cfvo type="num" val="1"/>
        <color rgb="FFF8696B"/>
        <color rgb="FFFFEB84"/>
        <color rgb="FF63BE7B"/>
      </colorScale>
    </cfRule>
  </conditionalFormatting>
  <conditionalFormatting sqref="E54:N54">
    <cfRule type="colorScale" priority="3">
      <colorScale>
        <cfvo type="num" val="0"/>
        <cfvo type="num" val="0.5"/>
        <cfvo type="num" val="1"/>
        <color rgb="FFF8696B"/>
        <color rgb="FFFFEB84"/>
        <color rgb="FF63BE7B"/>
      </colorScale>
    </cfRule>
  </conditionalFormatting>
  <conditionalFormatting sqref="E59:N59">
    <cfRule type="colorScale" priority="17">
      <colorScale>
        <cfvo type="num" val="0"/>
        <cfvo type="num" val="0.5"/>
        <cfvo type="num" val="1"/>
        <color rgb="FFF8696B"/>
        <color rgb="FFFFEB84"/>
        <color rgb="FF63BE7B"/>
      </colorScale>
    </cfRule>
  </conditionalFormatting>
  <conditionalFormatting sqref="E63:N63">
    <cfRule type="colorScale" priority="16">
      <colorScale>
        <cfvo type="num" val="0"/>
        <cfvo type="num" val="0.5"/>
        <cfvo type="num" val="1"/>
        <color rgb="FFF8696B"/>
        <color rgb="FFFFEB84"/>
        <color rgb="FF63BE7B"/>
      </colorScale>
    </cfRule>
  </conditionalFormatting>
  <conditionalFormatting sqref="E68:N68">
    <cfRule type="colorScale" priority="15">
      <colorScale>
        <cfvo type="num" val="0"/>
        <cfvo type="num" val="0.5"/>
        <cfvo type="num" val="1"/>
        <color rgb="FFF8696B"/>
        <color rgb="FFFFEB84"/>
        <color rgb="FF63BE7B"/>
      </colorScale>
    </cfRule>
  </conditionalFormatting>
  <conditionalFormatting sqref="E71:N71">
    <cfRule type="colorScale" priority="20">
      <colorScale>
        <cfvo type="num" val="0"/>
        <cfvo type="num" val="0.5"/>
        <cfvo type="num" val="1"/>
        <color rgb="FFF8696B"/>
        <color rgb="FFFFEB84"/>
        <color rgb="FF63BE7B"/>
      </colorScale>
    </cfRule>
  </conditionalFormatting>
  <conditionalFormatting sqref="E74:N74">
    <cfRule type="colorScale" priority="14">
      <colorScale>
        <cfvo type="num" val="0"/>
        <cfvo type="num" val="0.5"/>
        <cfvo type="num" val="1"/>
        <color rgb="FFF8696B"/>
        <color rgb="FFFFEB84"/>
        <color rgb="FF63BE7B"/>
      </colorScale>
    </cfRule>
  </conditionalFormatting>
  <conditionalFormatting sqref="E78:N78">
    <cfRule type="colorScale" priority="13">
      <colorScale>
        <cfvo type="num" val="0"/>
        <cfvo type="num" val="0.5"/>
        <cfvo type="num" val="1"/>
        <color rgb="FFF8696B"/>
        <color rgb="FFFFEB84"/>
        <color rgb="FF63BE7B"/>
      </colorScale>
    </cfRule>
  </conditionalFormatting>
  <conditionalFormatting sqref="E82:N82">
    <cfRule type="colorScale" priority="12">
      <colorScale>
        <cfvo type="num" val="0"/>
        <cfvo type="num" val="0.5"/>
        <cfvo type="num" val="1"/>
        <color rgb="FFF8696B"/>
        <color rgb="FFFFEB84"/>
        <color rgb="FF63BE7B"/>
      </colorScale>
    </cfRule>
  </conditionalFormatting>
  <conditionalFormatting sqref="E84:N84">
    <cfRule type="colorScale" priority="11">
      <colorScale>
        <cfvo type="num" val="0"/>
        <cfvo type="num" val="0.5"/>
        <cfvo type="num" val="1"/>
        <color rgb="FFF8696B"/>
        <color rgb="FFFFEB84"/>
        <color rgb="FF63BE7B"/>
      </colorScale>
    </cfRule>
  </conditionalFormatting>
  <conditionalFormatting sqref="E86:N86">
    <cfRule type="colorScale" priority="10">
      <colorScale>
        <cfvo type="num" val="0"/>
        <cfvo type="num" val="0.5"/>
        <cfvo type="num" val="1"/>
        <color rgb="FFF8696B"/>
        <color rgb="FFFFEB84"/>
        <color rgb="FF63BE7B"/>
      </colorScale>
    </cfRule>
  </conditionalFormatting>
  <conditionalFormatting sqref="E88:N88">
    <cfRule type="colorScale" priority="1">
      <colorScale>
        <cfvo type="num" val="0"/>
        <cfvo type="num" val="0.5"/>
        <cfvo type="num" val="1"/>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tint="-0.249977111117893"/>
    <pageSetUpPr autoPageBreaks="0" fitToPage="1"/>
  </sheetPr>
  <dimension ref="A1:O240"/>
  <sheetViews>
    <sheetView showGridLines="0" tabSelected="1" topLeftCell="A4" zoomScaleNormal="100" workbookViewId="0">
      <selection activeCell="Q7" sqref="Q7"/>
    </sheetView>
  </sheetViews>
  <sheetFormatPr defaultColWidth="8.75" defaultRowHeight="16.5" x14ac:dyDescent="0.3"/>
  <cols>
    <col min="1" max="1" width="2" customWidth="1"/>
    <col min="2" max="2" width="18.25" customWidth="1"/>
    <col min="3" max="8" width="17.625" customWidth="1"/>
    <col min="9" max="9" width="2.5" customWidth="1"/>
    <col min="14" max="14" width="6.75" customWidth="1"/>
  </cols>
  <sheetData>
    <row r="1" spans="1:14" ht="54" customHeight="1" x14ac:dyDescent="0.7">
      <c r="A1" s="2"/>
      <c r="B1" s="1">
        <v>2026</v>
      </c>
      <c r="C1" s="155" t="s">
        <v>2</v>
      </c>
      <c r="D1" s="155"/>
      <c r="E1" s="155"/>
      <c r="F1" s="2"/>
      <c r="G1" s="2"/>
      <c r="H1" s="2"/>
    </row>
    <row r="2" spans="1:14" ht="14.25" customHeight="1" x14ac:dyDescent="0.3">
      <c r="A2" s="3"/>
      <c r="B2" s="6" t="s">
        <v>1</v>
      </c>
      <c r="C2" s="7" t="str">
        <f>UPPER(TEXT(C3,"dddd"))</f>
        <v>TUESDAY</v>
      </c>
      <c r="D2" s="6" t="str">
        <f t="shared" ref="D2:H2" si="0">UPPER(TEXT(D3,"dddd"))</f>
        <v>WEDNESDAY</v>
      </c>
      <c r="E2" s="7" t="str">
        <f t="shared" si="0"/>
        <v>THURSDAY</v>
      </c>
      <c r="F2" s="6" t="str">
        <f t="shared" si="0"/>
        <v>FRIDAY</v>
      </c>
      <c r="G2" s="7" t="str">
        <f t="shared" si="0"/>
        <v>SATURDAY</v>
      </c>
      <c r="H2" s="6" t="str">
        <f t="shared" si="0"/>
        <v>SUNDAY</v>
      </c>
    </row>
    <row r="3" spans="1:14" ht="16.5" customHeight="1" x14ac:dyDescent="0.3">
      <c r="B3" s="4">
        <f t="array" ref="B3:H3">Days+1+DATE(Calendar1Year,Calendar1MonthOption,1)-WEEKDAY(DATE(Calendar1Year,Calendar1MonthOption,1),WeekdayOption)</f>
        <v>46020</v>
      </c>
      <c r="C3" s="4">
        <v>46021</v>
      </c>
      <c r="D3" s="4">
        <v>46022</v>
      </c>
      <c r="E3" s="4">
        <v>46023</v>
      </c>
      <c r="F3" s="4">
        <v>46024</v>
      </c>
      <c r="G3" s="4">
        <v>46025</v>
      </c>
      <c r="H3" s="5">
        <v>46026</v>
      </c>
    </row>
    <row r="4" spans="1:14" ht="50.45" customHeight="1" x14ac:dyDescent="0.3">
      <c r="B4" s="9"/>
      <c r="C4" s="101"/>
      <c r="D4" s="101"/>
      <c r="E4" s="142" t="s">
        <v>308</v>
      </c>
      <c r="F4" s="14" t="s">
        <v>330</v>
      </c>
      <c r="G4" s="4"/>
      <c r="H4" s="13"/>
    </row>
    <row r="5" spans="1:14" ht="9.6" customHeight="1" x14ac:dyDescent="0.3">
      <c r="B5" s="9"/>
      <c r="C5" s="4"/>
      <c r="D5" s="101"/>
      <c r="E5" s="4"/>
      <c r="G5" s="4"/>
      <c r="H5" s="13"/>
    </row>
    <row r="6" spans="1:14" ht="7.15" customHeight="1" x14ac:dyDescent="0.3">
      <c r="B6" s="9"/>
      <c r="C6" s="9"/>
      <c r="D6" s="9"/>
      <c r="E6" s="9"/>
      <c r="F6" s="9"/>
      <c r="G6" s="9"/>
      <c r="H6" s="10"/>
      <c r="L6" s="162" t="s">
        <v>3</v>
      </c>
      <c r="M6" s="163"/>
      <c r="N6" s="164"/>
    </row>
    <row r="7" spans="1:14" ht="16.5" customHeight="1" x14ac:dyDescent="0.3">
      <c r="B7" s="4">
        <f t="array" ref="B7:H7">Days+8+DATE(Calendar1Year,Calendar1MonthOption,1)-WEEKDAY(DATE(Calendar1Year,Calendar1MonthOption,1),WeekdayOption)</f>
        <v>46027</v>
      </c>
      <c r="C7" s="4">
        <v>46028</v>
      </c>
      <c r="D7" s="4">
        <v>46029</v>
      </c>
      <c r="E7" s="4">
        <v>46030</v>
      </c>
      <c r="F7" s="4">
        <v>46031</v>
      </c>
      <c r="G7" s="4">
        <v>46032</v>
      </c>
      <c r="H7" s="5">
        <v>46033</v>
      </c>
      <c r="L7" s="165"/>
      <c r="M7" s="166"/>
      <c r="N7" s="167"/>
    </row>
    <row r="8" spans="1:14" ht="70.150000000000006" customHeight="1" x14ac:dyDescent="0.3">
      <c r="B8" s="32" t="s">
        <v>9</v>
      </c>
      <c r="C8" s="14" t="s">
        <v>10</v>
      </c>
      <c r="D8" s="34" t="s">
        <v>15</v>
      </c>
      <c r="E8" s="15" t="s">
        <v>18</v>
      </c>
      <c r="F8" s="14" t="s">
        <v>330</v>
      </c>
      <c r="G8" s="4"/>
      <c r="H8" s="13"/>
      <c r="L8" s="103" t="s">
        <v>4</v>
      </c>
      <c r="M8" s="104"/>
      <c r="N8" s="28"/>
    </row>
    <row r="9" spans="1:14" ht="49.9" customHeight="1" x14ac:dyDescent="0.3">
      <c r="B9" s="14" t="s">
        <v>20</v>
      </c>
      <c r="C9" s="101"/>
      <c r="D9" s="31" t="s">
        <v>16</v>
      </c>
      <c r="E9" s="113" t="s">
        <v>311</v>
      </c>
      <c r="G9" s="4"/>
      <c r="H9" s="13"/>
      <c r="L9" s="105" t="s">
        <v>5</v>
      </c>
      <c r="M9" s="106"/>
      <c r="N9" s="29"/>
    </row>
    <row r="10" spans="1:14" ht="20.45" customHeight="1" x14ac:dyDescent="0.3">
      <c r="B10" s="9"/>
      <c r="C10" s="9"/>
      <c r="D10" s="9"/>
      <c r="E10" s="9"/>
      <c r="F10" s="9"/>
      <c r="G10" s="9"/>
      <c r="H10" s="12"/>
      <c r="L10" s="107" t="s">
        <v>6</v>
      </c>
      <c r="M10" s="108"/>
      <c r="N10" s="30"/>
    </row>
    <row r="11" spans="1:14" ht="16.5" customHeight="1" x14ac:dyDescent="0.3">
      <c r="B11" s="4">
        <f t="array" ref="B11:H11">Days+15+DATE(Calendar1Year,Calendar1MonthOption,1)-WEEKDAY(DATE(Calendar1Year,Calendar1MonthOption,1),WeekdayOption)</f>
        <v>46034</v>
      </c>
      <c r="C11" s="4">
        <v>46035</v>
      </c>
      <c r="D11" s="4">
        <v>46036</v>
      </c>
      <c r="E11" s="4">
        <v>46037</v>
      </c>
      <c r="F11" s="4">
        <v>46038</v>
      </c>
      <c r="G11" s="4">
        <v>46039</v>
      </c>
      <c r="H11" s="5">
        <v>46040</v>
      </c>
      <c r="L11" s="135" t="s">
        <v>7</v>
      </c>
      <c r="M11" s="136"/>
      <c r="N11" s="137"/>
    </row>
    <row r="12" spans="1:14" ht="46.15" customHeight="1" x14ac:dyDescent="0.3">
      <c r="B12" s="32" t="s">
        <v>9</v>
      </c>
      <c r="C12" s="14" t="s">
        <v>10</v>
      </c>
      <c r="D12" s="101" t="s">
        <v>291</v>
      </c>
      <c r="E12" s="35" t="s">
        <v>17</v>
      </c>
      <c r="F12" s="14" t="s">
        <v>330</v>
      </c>
      <c r="G12" s="4"/>
      <c r="H12" s="13"/>
      <c r="L12" s="160" t="s">
        <v>8</v>
      </c>
      <c r="M12" s="161"/>
      <c r="N12" s="39"/>
    </row>
    <row r="13" spans="1:14" ht="31.15" customHeight="1" x14ac:dyDescent="0.3">
      <c r="B13" s="4"/>
      <c r="C13" s="14" t="s">
        <v>20</v>
      </c>
      <c r="D13" s="4"/>
      <c r="E13" s="4"/>
      <c r="G13" s="4"/>
      <c r="H13" s="13"/>
      <c r="L13" s="139" t="s">
        <v>334</v>
      </c>
      <c r="M13" s="140"/>
      <c r="N13" s="141"/>
    </row>
    <row r="14" spans="1:14" ht="26.45" customHeight="1" x14ac:dyDescent="0.3">
      <c r="B14" s="9"/>
      <c r="C14" s="9"/>
      <c r="D14" s="9"/>
      <c r="E14" s="9"/>
      <c r="F14" s="9"/>
      <c r="G14" s="9"/>
      <c r="H14" s="10"/>
      <c r="L14" s="110" t="s">
        <v>312</v>
      </c>
      <c r="M14" s="111"/>
      <c r="N14" s="112"/>
    </row>
    <row r="15" spans="1:14" ht="16.5" customHeight="1" x14ac:dyDescent="0.3">
      <c r="B15" s="4">
        <f t="array" ref="B15:H15">Days+22+DATE(Calendar1Year,Calendar1MonthOption,1)-WEEKDAY(DATE(Calendar1Year,Calendar1MonthOption,1),WeekdayOption)</f>
        <v>46041</v>
      </c>
      <c r="C15" s="4">
        <v>46042</v>
      </c>
      <c r="D15" s="4">
        <v>46043</v>
      </c>
      <c r="E15" s="4">
        <v>46044</v>
      </c>
      <c r="F15" s="4">
        <v>46045</v>
      </c>
      <c r="G15" s="4">
        <v>46046</v>
      </c>
      <c r="H15" s="5">
        <v>46047</v>
      </c>
    </row>
    <row r="16" spans="1:14" ht="49.15" customHeight="1" x14ac:dyDescent="0.3">
      <c r="B16" s="32" t="s">
        <v>9</v>
      </c>
      <c r="C16" s="14" t="s">
        <v>10</v>
      </c>
      <c r="D16" s="15" t="s">
        <v>19</v>
      </c>
      <c r="E16" s="109" t="s">
        <v>326</v>
      </c>
      <c r="F16" s="15" t="s">
        <v>11</v>
      </c>
      <c r="G16" s="9"/>
      <c r="H16" s="9"/>
      <c r="I16" s="10"/>
    </row>
    <row r="17" spans="1:14" ht="34.9" customHeight="1" x14ac:dyDescent="0.3">
      <c r="B17" s="4"/>
      <c r="C17" s="14" t="s">
        <v>20</v>
      </c>
      <c r="D17" s="4"/>
      <c r="E17" s="14" t="s">
        <v>14</v>
      </c>
      <c r="F17" s="33" t="s">
        <v>12</v>
      </c>
      <c r="G17" s="9"/>
      <c r="H17" s="9"/>
      <c r="I17" s="10"/>
      <c r="J17" s="10"/>
    </row>
    <row r="18" spans="1:14" ht="37.15" customHeight="1" x14ac:dyDescent="0.3">
      <c r="B18" s="9"/>
      <c r="C18" s="9"/>
      <c r="D18" s="9"/>
      <c r="E18" s="9"/>
      <c r="F18" s="33" t="s">
        <v>13</v>
      </c>
      <c r="G18" s="9"/>
      <c r="H18" s="10"/>
    </row>
    <row r="19" spans="1:14" ht="16.5" customHeight="1" x14ac:dyDescent="0.3">
      <c r="B19" s="4">
        <f t="array" ref="B19:H19">Days+29+DATE(Calendar1Year,Calendar1MonthOption,1)-WEEKDAY(DATE(Calendar1Year,Calendar1MonthOption,1),WeekdayOption)</f>
        <v>46048</v>
      </c>
      <c r="C19" s="4">
        <v>46049</v>
      </c>
      <c r="D19" s="114">
        <v>46050</v>
      </c>
      <c r="E19" s="4">
        <v>46051</v>
      </c>
      <c r="F19" s="4">
        <v>46052</v>
      </c>
      <c r="G19" s="4">
        <v>46053</v>
      </c>
      <c r="H19" s="5">
        <v>46054</v>
      </c>
    </row>
    <row r="20" spans="1:14" ht="44.45" customHeight="1" x14ac:dyDescent="0.3">
      <c r="B20" s="32" t="s">
        <v>9</v>
      </c>
      <c r="C20" s="113" t="s">
        <v>311</v>
      </c>
      <c r="D20" s="101" t="s">
        <v>291</v>
      </c>
      <c r="E20" s="101" t="s">
        <v>291</v>
      </c>
      <c r="F20" s="14" t="s">
        <v>330</v>
      </c>
      <c r="G20" s="4"/>
      <c r="H20" s="13"/>
    </row>
    <row r="21" spans="1:14" ht="68.45" customHeight="1" x14ac:dyDescent="0.3">
      <c r="B21" s="101" t="s">
        <v>291</v>
      </c>
      <c r="C21" s="14" t="s">
        <v>10</v>
      </c>
      <c r="D21" s="4"/>
      <c r="E21" s="4"/>
      <c r="G21" s="4"/>
      <c r="H21" s="13"/>
    </row>
    <row r="22" spans="1:14" ht="32.450000000000003" customHeight="1" x14ac:dyDescent="0.3">
      <c r="C22" s="14" t="s">
        <v>20</v>
      </c>
      <c r="D22" s="9"/>
      <c r="E22" s="9"/>
      <c r="G22" s="9"/>
      <c r="H22" s="10"/>
    </row>
    <row r="23" spans="1:14" ht="34.9" customHeight="1" x14ac:dyDescent="0.3">
      <c r="B23" s="9"/>
      <c r="C23" s="9"/>
      <c r="D23" s="159"/>
      <c r="E23" s="156"/>
      <c r="F23" s="156"/>
      <c r="G23" s="156"/>
      <c r="H23" s="156"/>
    </row>
    <row r="24" spans="1:14" ht="54" customHeight="1" x14ac:dyDescent="0.7">
      <c r="A24" s="2"/>
      <c r="B24" s="1">
        <f>YEAR(DATE(Calendar1Year,Calendar1MonthOption+1,1))</f>
        <v>2026</v>
      </c>
      <c r="C24" s="155" t="str">
        <f>TEXT(DATE(Calendar1Year,Calendar1MonthOption+1,1),"mmmm")</f>
        <v>February</v>
      </c>
      <c r="D24" s="155"/>
      <c r="E24" s="155"/>
      <c r="F24" s="8"/>
      <c r="G24" s="8"/>
      <c r="H24" s="2"/>
    </row>
    <row r="25" spans="1:14" ht="14.25" customHeight="1" x14ac:dyDescent="0.3">
      <c r="A25" s="3"/>
      <c r="B25" s="6" t="str">
        <f>UPPER(TEXT(B26,"dddd"))</f>
        <v>MONDAY</v>
      </c>
      <c r="C25" s="7" t="str">
        <f t="shared" ref="C25:H25" si="1">UPPER(TEXT(C26,"dddd"))</f>
        <v>TUESDAY</v>
      </c>
      <c r="D25" s="6" t="str">
        <f t="shared" si="1"/>
        <v>WEDNESDAY</v>
      </c>
      <c r="E25" s="7" t="str">
        <f t="shared" si="1"/>
        <v>THURSDAY</v>
      </c>
      <c r="F25" s="6" t="str">
        <f t="shared" si="1"/>
        <v>FRIDAY</v>
      </c>
      <c r="G25" s="7" t="str">
        <f t="shared" si="1"/>
        <v>SATURDAY</v>
      </c>
      <c r="H25" s="6" t="str">
        <f t="shared" si="1"/>
        <v>SUNDAY</v>
      </c>
    </row>
    <row r="26" spans="1:14" ht="16.5" customHeight="1" x14ac:dyDescent="0.3">
      <c r="B26" s="116">
        <f t="array" ref="B26:H26">Days+1+DATE(Calendar2Year,Calendar2MonthOption,1)-WEEKDAY(DATE(Calendar2Year,Calendar2MonthOption,1),WeekdayOption)</f>
        <v>46048</v>
      </c>
      <c r="C26" s="116">
        <v>46049</v>
      </c>
      <c r="D26" s="116">
        <v>46050</v>
      </c>
      <c r="E26" s="116">
        <v>46051</v>
      </c>
      <c r="F26" s="116">
        <v>46052</v>
      </c>
      <c r="G26" s="116">
        <v>46053</v>
      </c>
      <c r="H26" s="117">
        <v>46054</v>
      </c>
    </row>
    <row r="27" spans="1:14" ht="1.9" customHeight="1" x14ac:dyDescent="0.3">
      <c r="B27" s="101"/>
      <c r="C27" s="101"/>
      <c r="D27" s="4"/>
      <c r="F27" s="101"/>
      <c r="G27" s="4"/>
      <c r="H27" s="13"/>
    </row>
    <row r="28" spans="1:14" ht="1.1499999999999999" hidden="1" customHeight="1" x14ac:dyDescent="0.3">
      <c r="B28" s="101"/>
      <c r="C28" s="101"/>
      <c r="D28" s="9"/>
      <c r="E28" s="9"/>
      <c r="F28" s="101"/>
      <c r="G28" s="9"/>
      <c r="H28" s="10"/>
    </row>
    <row r="29" spans="1:14" ht="16.5" customHeight="1" x14ac:dyDescent="0.3">
      <c r="B29" s="115">
        <f t="array" ref="B29:H29">Days+8+DATE(Calendar2Year,Calendar2MonthOption,1)-WEEKDAY(DATE(Calendar2Year,Calendar2MonthOption,1),WeekdayOption)</f>
        <v>46055</v>
      </c>
      <c r="C29" s="115">
        <v>46056</v>
      </c>
      <c r="D29" s="115">
        <v>46057</v>
      </c>
      <c r="E29" s="115">
        <v>46058</v>
      </c>
      <c r="F29" s="115">
        <v>46059</v>
      </c>
      <c r="G29" s="4">
        <v>46060</v>
      </c>
      <c r="H29" s="5">
        <v>46061</v>
      </c>
    </row>
    <row r="30" spans="1:14" ht="33" customHeight="1" x14ac:dyDescent="0.3">
      <c r="B30" s="14" t="s">
        <v>9</v>
      </c>
      <c r="C30" s="14" t="s">
        <v>10</v>
      </c>
      <c r="D30" s="101" t="s">
        <v>291</v>
      </c>
      <c r="E30" s="101" t="s">
        <v>291</v>
      </c>
      <c r="F30" s="14" t="s">
        <v>330</v>
      </c>
      <c r="G30" s="4"/>
      <c r="H30" s="13"/>
      <c r="L30" s="162" t="s">
        <v>3</v>
      </c>
      <c r="M30" s="163"/>
      <c r="N30" s="164"/>
    </row>
    <row r="31" spans="1:14" ht="28.15" customHeight="1" x14ac:dyDescent="0.3">
      <c r="B31" s="14" t="s">
        <v>20</v>
      </c>
      <c r="C31" s="15" t="s">
        <v>18</v>
      </c>
      <c r="D31" s="9"/>
      <c r="E31" s="9"/>
      <c r="F31" s="101"/>
      <c r="G31" s="9"/>
      <c r="H31" s="10"/>
      <c r="L31" s="165"/>
      <c r="M31" s="166"/>
      <c r="N31" s="167"/>
    </row>
    <row r="32" spans="1:14" ht="16.5" customHeight="1" x14ac:dyDescent="0.3">
      <c r="B32" s="4">
        <f t="array" ref="B32:H32">Days+15+DATE(Calendar2Year,Calendar2MonthOption,1)-WEEKDAY(DATE(Calendar2Year,Calendar2MonthOption,1),WeekdayOption)</f>
        <v>46062</v>
      </c>
      <c r="C32" s="4">
        <v>46063</v>
      </c>
      <c r="D32" s="4">
        <v>46064</v>
      </c>
      <c r="E32" s="4">
        <v>46065</v>
      </c>
      <c r="F32" s="4">
        <v>46066</v>
      </c>
      <c r="G32" s="4">
        <v>46067</v>
      </c>
      <c r="H32" s="5">
        <v>46068</v>
      </c>
      <c r="L32" s="103" t="s">
        <v>4</v>
      </c>
      <c r="M32" s="104"/>
      <c r="N32" s="28"/>
    </row>
    <row r="33" spans="1:14" ht="33.6" customHeight="1" x14ac:dyDescent="0.3">
      <c r="B33" s="14" t="s">
        <v>9</v>
      </c>
      <c r="C33" s="14" t="s">
        <v>10</v>
      </c>
      <c r="D33" s="101" t="s">
        <v>291</v>
      </c>
      <c r="E33" s="101" t="s">
        <v>291</v>
      </c>
      <c r="F33" s="14" t="s">
        <v>330</v>
      </c>
      <c r="G33" s="4"/>
      <c r="H33" s="13"/>
      <c r="L33" s="105" t="s">
        <v>5</v>
      </c>
      <c r="M33" s="106"/>
      <c r="N33" s="29"/>
    </row>
    <row r="34" spans="1:14" ht="36.6" customHeight="1" x14ac:dyDescent="0.3">
      <c r="B34" s="14" t="s">
        <v>20</v>
      </c>
      <c r="C34" s="9"/>
      <c r="D34" s="130"/>
      <c r="E34" s="113" t="s">
        <v>311</v>
      </c>
      <c r="F34" s="101"/>
      <c r="G34" s="9"/>
      <c r="H34" s="10"/>
      <c r="L34" s="107" t="s">
        <v>6</v>
      </c>
      <c r="M34" s="108"/>
      <c r="N34" s="30"/>
    </row>
    <row r="35" spans="1:14" ht="16.5" customHeight="1" x14ac:dyDescent="0.3">
      <c r="B35" s="4">
        <f t="array" ref="B35:H35">Days+22+DATE(Calendar2Year,Calendar2MonthOption,1)-WEEKDAY(DATE(Calendar2Year,Calendar2MonthOption,1),WeekdayOption)</f>
        <v>46069</v>
      </c>
      <c r="C35" s="4">
        <v>46070</v>
      </c>
      <c r="D35" s="4">
        <v>46071</v>
      </c>
      <c r="E35" s="4">
        <v>46072</v>
      </c>
      <c r="F35" s="4">
        <v>46073</v>
      </c>
      <c r="G35" s="4">
        <v>46074</v>
      </c>
      <c r="H35" s="5">
        <v>46075</v>
      </c>
      <c r="L35" s="135" t="s">
        <v>7</v>
      </c>
      <c r="M35" s="136"/>
      <c r="N35" s="137"/>
    </row>
    <row r="36" spans="1:14" ht="45.6" customHeight="1" x14ac:dyDescent="0.3">
      <c r="B36" s="14" t="s">
        <v>9</v>
      </c>
      <c r="C36" s="14" t="s">
        <v>10</v>
      </c>
      <c r="D36" s="15" t="s">
        <v>17</v>
      </c>
      <c r="E36" s="15" t="s">
        <v>11</v>
      </c>
      <c r="F36" s="109" t="s">
        <v>326</v>
      </c>
      <c r="G36" s="4"/>
      <c r="H36" s="13"/>
      <c r="L36" s="160" t="s">
        <v>8</v>
      </c>
      <c r="M36" s="161"/>
      <c r="N36" s="39"/>
    </row>
    <row r="37" spans="1:14" ht="39.6" customHeight="1" x14ac:dyDescent="0.3">
      <c r="B37" s="14" t="s">
        <v>20</v>
      </c>
      <c r="C37" s="15" t="s">
        <v>19</v>
      </c>
      <c r="D37" s="9"/>
      <c r="E37" s="33" t="s">
        <v>12</v>
      </c>
      <c r="F37" s="14" t="s">
        <v>330</v>
      </c>
      <c r="G37" s="4"/>
      <c r="H37" s="13"/>
      <c r="L37" s="139" t="s">
        <v>334</v>
      </c>
      <c r="M37" s="140"/>
      <c r="N37" s="141"/>
    </row>
    <row r="38" spans="1:14" ht="33.6" customHeight="1" x14ac:dyDescent="0.3">
      <c r="B38" s="9"/>
      <c r="C38" s="9"/>
      <c r="D38" s="9"/>
      <c r="E38" s="33" t="s">
        <v>13</v>
      </c>
      <c r="F38" s="14"/>
      <c r="G38" s="9"/>
      <c r="H38" s="10"/>
      <c r="L38" s="110" t="s">
        <v>312</v>
      </c>
      <c r="M38" s="111"/>
      <c r="N38" s="112"/>
    </row>
    <row r="39" spans="1:14" ht="16.5" customHeight="1" x14ac:dyDescent="0.3">
      <c r="B39" s="4">
        <f t="array" ref="B39:H39">Days+29+DATE(Calendar2Year,Calendar2MonthOption,1)-WEEKDAY(DATE(Calendar2Year,Calendar2MonthOption,1),WeekdayOption)</f>
        <v>46076</v>
      </c>
      <c r="C39" s="4">
        <v>46077</v>
      </c>
      <c r="D39" s="4">
        <v>46078</v>
      </c>
      <c r="E39" s="4">
        <v>46079</v>
      </c>
      <c r="F39" s="4">
        <v>46080</v>
      </c>
      <c r="G39" s="4">
        <v>46081</v>
      </c>
      <c r="H39" s="5">
        <v>46082</v>
      </c>
    </row>
    <row r="40" spans="1:14" ht="48" customHeight="1" x14ac:dyDescent="0.3">
      <c r="B40" s="14" t="s">
        <v>9</v>
      </c>
      <c r="C40" s="14" t="s">
        <v>10</v>
      </c>
      <c r="D40" s="101" t="s">
        <v>291</v>
      </c>
      <c r="E40" s="113" t="s">
        <v>311</v>
      </c>
      <c r="F40" s="14" t="s">
        <v>330</v>
      </c>
      <c r="G40" s="4"/>
      <c r="H40" s="13"/>
    </row>
    <row r="41" spans="1:14" ht="57" customHeight="1" x14ac:dyDescent="0.3">
      <c r="B41" s="14" t="s">
        <v>20</v>
      </c>
      <c r="C41" s="9"/>
      <c r="D41" s="9"/>
      <c r="E41" s="9"/>
      <c r="F41" s="9"/>
      <c r="G41" s="9"/>
      <c r="H41" s="11"/>
    </row>
    <row r="42" spans="1:14" ht="32.450000000000003" customHeight="1" x14ac:dyDescent="0.3">
      <c r="B42" s="9"/>
      <c r="C42" s="9"/>
      <c r="D42" s="156"/>
      <c r="E42" s="156"/>
      <c r="F42" s="156"/>
      <c r="G42" s="156"/>
      <c r="H42" s="156"/>
    </row>
    <row r="43" spans="1:14" ht="54" customHeight="1" x14ac:dyDescent="0.7">
      <c r="A43" s="2"/>
      <c r="B43" s="1">
        <f>YEAR(DATE(Calendar2Year,Calendar2MonthOption+1,1))</f>
        <v>2026</v>
      </c>
      <c r="C43" s="155" t="str">
        <f>TEXT(DATE(Calendar2Year,Calendar2MonthOption+1,1),"mmmm")</f>
        <v>March</v>
      </c>
      <c r="D43" s="155"/>
      <c r="E43" s="155"/>
      <c r="F43" s="8"/>
      <c r="G43" s="8"/>
      <c r="H43" s="2"/>
    </row>
    <row r="44" spans="1:14" ht="14.25" customHeight="1" x14ac:dyDescent="0.3">
      <c r="A44" s="3"/>
      <c r="B44" s="6" t="str">
        <f t="shared" ref="B44:H44" si="2">UPPER(TEXT(B45,"dddd"))</f>
        <v>MONDAY</v>
      </c>
      <c r="C44" s="7" t="str">
        <f t="shared" si="2"/>
        <v>TUESDAY</v>
      </c>
      <c r="D44" s="6" t="str">
        <f t="shared" si="2"/>
        <v>WEDNESDAY</v>
      </c>
      <c r="E44" s="7" t="str">
        <f t="shared" si="2"/>
        <v>THURSDAY</v>
      </c>
      <c r="F44" s="6" t="str">
        <f t="shared" si="2"/>
        <v>FRIDAY</v>
      </c>
      <c r="G44" s="7" t="str">
        <f t="shared" si="2"/>
        <v>SATURDAY</v>
      </c>
      <c r="H44" s="6" t="str">
        <f t="shared" si="2"/>
        <v>SUNDAY</v>
      </c>
    </row>
    <row r="45" spans="1:14" ht="14.45" customHeight="1" x14ac:dyDescent="0.3">
      <c r="B45" s="116">
        <f t="array" ref="B45:H45">Days+1+DATE(Calendar3Year,Calendar3MonthOption,1)-WEEKDAY(DATE(Calendar3Year,Calendar3MonthOption,1),WeekdayOption)</f>
        <v>46076</v>
      </c>
      <c r="C45" s="116">
        <v>46077</v>
      </c>
      <c r="D45" s="116">
        <v>46078</v>
      </c>
      <c r="E45" s="116">
        <v>46079</v>
      </c>
      <c r="F45" s="116">
        <v>46080</v>
      </c>
      <c r="G45" s="116">
        <v>46081</v>
      </c>
      <c r="H45" s="117">
        <v>46082</v>
      </c>
    </row>
    <row r="46" spans="1:14" ht="21" hidden="1" x14ac:dyDescent="0.3">
      <c r="B46" s="4"/>
      <c r="C46" s="9"/>
      <c r="D46" s="4"/>
      <c r="E46" s="4"/>
      <c r="G46" s="4"/>
      <c r="H46" s="13"/>
    </row>
    <row r="47" spans="1:14" ht="0.6" customHeight="1" x14ac:dyDescent="0.3">
      <c r="B47" s="4"/>
      <c r="C47" s="9"/>
      <c r="D47" s="9"/>
      <c r="E47" s="9"/>
      <c r="F47" s="101"/>
      <c r="G47" s="9"/>
      <c r="H47" s="10"/>
    </row>
    <row r="48" spans="1:14" ht="16.5" customHeight="1" x14ac:dyDescent="0.3">
      <c r="B48" s="4">
        <f t="array" ref="B48:H48">Days+8+DATE(Calendar3Year,Calendar3MonthOption,1)-WEEKDAY(DATE(Calendar3Year,Calendar3MonthOption,1),WeekdayOption)</f>
        <v>46083</v>
      </c>
      <c r="C48" s="4">
        <v>46084</v>
      </c>
      <c r="D48" s="4">
        <v>46085</v>
      </c>
      <c r="E48" s="4">
        <v>46086</v>
      </c>
      <c r="F48" s="4">
        <v>46087</v>
      </c>
      <c r="G48" s="4">
        <v>46088</v>
      </c>
      <c r="H48" s="5">
        <v>46089</v>
      </c>
    </row>
    <row r="49" spans="1:15" ht="36" x14ac:dyDescent="0.3">
      <c r="B49" s="14" t="s">
        <v>9</v>
      </c>
      <c r="C49" s="15" t="s">
        <v>18</v>
      </c>
      <c r="D49" s="31" t="s">
        <v>22</v>
      </c>
      <c r="E49" s="101" t="s">
        <v>291</v>
      </c>
      <c r="F49" s="14" t="s">
        <v>330</v>
      </c>
      <c r="G49" s="4"/>
      <c r="H49" s="13"/>
      <c r="M49" s="162" t="s">
        <v>3</v>
      </c>
      <c r="N49" s="163"/>
      <c r="O49" s="164"/>
    </row>
    <row r="50" spans="1:15" ht="56.25" customHeight="1" x14ac:dyDescent="0.3">
      <c r="B50" s="14" t="s">
        <v>20</v>
      </c>
      <c r="C50" s="14" t="s">
        <v>10</v>
      </c>
      <c r="D50" s="9"/>
      <c r="E50" s="9"/>
      <c r="F50" s="101"/>
      <c r="G50" s="9"/>
      <c r="H50" s="10"/>
      <c r="M50" s="165"/>
      <c r="N50" s="166"/>
      <c r="O50" s="167"/>
    </row>
    <row r="51" spans="1:15" ht="16.5" customHeight="1" x14ac:dyDescent="0.3">
      <c r="B51" s="4">
        <f t="array" ref="B51:H51">Days+15+DATE(Calendar3Year,Calendar3MonthOption,1)-WEEKDAY(DATE(Calendar3Year,Calendar3MonthOption,1),WeekdayOption)</f>
        <v>46090</v>
      </c>
      <c r="C51" s="4">
        <v>46091</v>
      </c>
      <c r="D51" s="4">
        <v>46092</v>
      </c>
      <c r="E51" s="4">
        <v>46093</v>
      </c>
      <c r="F51" s="4">
        <v>46094</v>
      </c>
      <c r="G51" s="4">
        <v>46095</v>
      </c>
      <c r="H51" s="5">
        <v>46096</v>
      </c>
      <c r="M51" s="103" t="s">
        <v>4</v>
      </c>
      <c r="N51" s="104"/>
      <c r="O51" s="28"/>
    </row>
    <row r="52" spans="1:15" ht="36" x14ac:dyDescent="0.3">
      <c r="B52" s="31" t="s">
        <v>23</v>
      </c>
      <c r="C52" s="14" t="s">
        <v>10</v>
      </c>
      <c r="D52" s="31" t="s">
        <v>26</v>
      </c>
      <c r="E52" s="34" t="s">
        <v>21</v>
      </c>
      <c r="F52" s="31" t="s">
        <v>24</v>
      </c>
      <c r="G52" s="4"/>
      <c r="H52" s="13"/>
      <c r="M52" s="105" t="s">
        <v>5</v>
      </c>
      <c r="N52" s="106"/>
      <c r="O52" s="29"/>
    </row>
    <row r="53" spans="1:15" ht="39.6" customHeight="1" x14ac:dyDescent="0.3">
      <c r="B53" s="14" t="s">
        <v>20</v>
      </c>
      <c r="C53" s="9"/>
      <c r="D53" s="132" t="s">
        <v>311</v>
      </c>
      <c r="E53" s="37" t="s">
        <v>31</v>
      </c>
      <c r="F53" s="31" t="s">
        <v>25</v>
      </c>
      <c r="G53" s="9"/>
      <c r="H53" s="10"/>
      <c r="M53" s="107" t="s">
        <v>6</v>
      </c>
      <c r="N53" s="108"/>
      <c r="O53" s="30"/>
    </row>
    <row r="54" spans="1:15" ht="37.9" customHeight="1" x14ac:dyDescent="0.3">
      <c r="B54" s="118"/>
      <c r="C54" s="9"/>
      <c r="D54" s="9"/>
      <c r="E54" s="31" t="s">
        <v>32</v>
      </c>
      <c r="F54" s="123"/>
      <c r="G54" s="9"/>
      <c r="H54" s="10"/>
      <c r="M54" s="135" t="s">
        <v>7</v>
      </c>
      <c r="N54" s="136"/>
      <c r="O54" s="137"/>
    </row>
    <row r="55" spans="1:15" ht="16.5" customHeight="1" x14ac:dyDescent="0.3">
      <c r="B55" s="4">
        <f t="array" ref="B55:H55">Days+22+DATE(Calendar3Year,Calendar3MonthOption,1)-WEEKDAY(DATE(Calendar3Year,Calendar3MonthOption,1),WeekdayOption)</f>
        <v>46097</v>
      </c>
      <c r="C55" s="4">
        <v>46098</v>
      </c>
      <c r="D55" s="4">
        <v>46099</v>
      </c>
      <c r="E55" s="4">
        <v>46100</v>
      </c>
      <c r="F55" s="114">
        <v>46101</v>
      </c>
      <c r="G55" s="4">
        <v>46102</v>
      </c>
      <c r="H55" s="5">
        <v>46103</v>
      </c>
      <c r="M55" s="160" t="s">
        <v>8</v>
      </c>
      <c r="N55" s="161"/>
      <c r="O55" s="39"/>
    </row>
    <row r="56" spans="1:15" ht="36" x14ac:dyDescent="0.3">
      <c r="B56" s="14" t="s">
        <v>9</v>
      </c>
      <c r="C56" s="14" t="s">
        <v>9</v>
      </c>
      <c r="D56" s="37" t="s">
        <v>29</v>
      </c>
      <c r="E56" s="14" t="s">
        <v>14</v>
      </c>
      <c r="F56" s="101" t="s">
        <v>309</v>
      </c>
      <c r="G56" s="143" t="s">
        <v>309</v>
      </c>
      <c r="H56" s="13"/>
      <c r="M56" s="139" t="s">
        <v>334</v>
      </c>
      <c r="N56" s="140"/>
      <c r="O56" s="141"/>
    </row>
    <row r="57" spans="1:15" ht="56.25" customHeight="1" x14ac:dyDescent="0.3">
      <c r="B57" s="14" t="s">
        <v>20</v>
      </c>
      <c r="C57" s="14" t="s">
        <v>20</v>
      </c>
      <c r="D57" s="34" t="s">
        <v>34</v>
      </c>
      <c r="E57" s="38" t="s">
        <v>33</v>
      </c>
      <c r="F57" s="101"/>
      <c r="G57" s="9"/>
      <c r="H57" s="10"/>
      <c r="M57" s="110" t="s">
        <v>312</v>
      </c>
      <c r="N57" s="111"/>
      <c r="O57" s="133"/>
    </row>
    <row r="58" spans="1:15" ht="16.5" customHeight="1" x14ac:dyDescent="0.3">
      <c r="A58" s="119"/>
      <c r="B58" s="115">
        <f t="array" ref="B58:H58">Days+29+DATE(Calendar3Year,Calendar3MonthOption,1)-WEEKDAY(DATE(Calendar3Year,Calendar3MonthOption,1),WeekdayOption)</f>
        <v>46104</v>
      </c>
      <c r="C58" s="115">
        <v>46105</v>
      </c>
      <c r="D58" s="115">
        <v>46106</v>
      </c>
      <c r="E58" s="115">
        <v>46107</v>
      </c>
      <c r="F58" s="115">
        <v>46108</v>
      </c>
      <c r="G58" s="115">
        <v>46109</v>
      </c>
      <c r="H58" s="120">
        <v>46110</v>
      </c>
      <c r="O58" s="134"/>
    </row>
    <row r="59" spans="1:15" ht="48" x14ac:dyDescent="0.3">
      <c r="B59" s="14" t="s">
        <v>9</v>
      </c>
      <c r="C59" s="31" t="s">
        <v>27</v>
      </c>
      <c r="D59" s="37" t="s">
        <v>30</v>
      </c>
      <c r="E59" s="149" t="s">
        <v>291</v>
      </c>
      <c r="F59" s="148" t="s">
        <v>291</v>
      </c>
      <c r="G59" s="101"/>
      <c r="H59" s="101"/>
    </row>
    <row r="60" spans="1:15" ht="36" x14ac:dyDescent="0.3">
      <c r="B60" s="14" t="s">
        <v>20</v>
      </c>
      <c r="C60" s="31" t="s">
        <v>28</v>
      </c>
      <c r="D60" s="9"/>
      <c r="E60" s="113" t="s">
        <v>311</v>
      </c>
      <c r="F60" s="4"/>
      <c r="G60" s="4"/>
      <c r="H60" s="13"/>
    </row>
    <row r="61" spans="1:15" ht="35.450000000000003" customHeight="1" x14ac:dyDescent="0.3">
      <c r="B61" s="9"/>
      <c r="C61" s="14" t="s">
        <v>10</v>
      </c>
      <c r="D61" s="9"/>
      <c r="F61" s="9"/>
      <c r="G61" s="9"/>
      <c r="H61" s="11"/>
    </row>
    <row r="62" spans="1:15" ht="33.6" customHeight="1" x14ac:dyDescent="0.3">
      <c r="B62" s="9"/>
      <c r="C62" s="9"/>
      <c r="D62" s="156"/>
      <c r="E62" s="156"/>
      <c r="F62" s="156"/>
      <c r="G62" s="156"/>
      <c r="H62" s="156"/>
    </row>
    <row r="63" spans="1:15" ht="54" customHeight="1" x14ac:dyDescent="0.7">
      <c r="A63" s="2"/>
      <c r="B63" s="1">
        <f>YEAR(DATE(Calendar3Year,Calendar3MonthOption+1,1))</f>
        <v>2026</v>
      </c>
      <c r="C63" s="155" t="str">
        <f>TEXT(DATE(Calendar3Year,Calendar3MonthOption+1,1),"mmmm")</f>
        <v>April</v>
      </c>
      <c r="D63" s="155"/>
      <c r="E63" s="155"/>
      <c r="F63" s="8"/>
      <c r="G63" s="8"/>
      <c r="H63" s="2"/>
    </row>
    <row r="64" spans="1:15" ht="14.25" customHeight="1" x14ac:dyDescent="0.3">
      <c r="A64" s="3"/>
      <c r="B64" s="6" t="str">
        <f>UPPER(TEXT(B65,"dddd"))</f>
        <v>MONDAY</v>
      </c>
      <c r="C64" s="7" t="str">
        <f t="shared" ref="C64" si="3">UPPER(TEXT(C65,"dddd"))</f>
        <v>TUESDAY</v>
      </c>
      <c r="D64" s="6" t="str">
        <f t="shared" ref="D64" si="4">UPPER(TEXT(D65,"dddd"))</f>
        <v>WEDNESDAY</v>
      </c>
      <c r="E64" s="7" t="str">
        <f t="shared" ref="E64" si="5">UPPER(TEXT(E65,"dddd"))</f>
        <v>THURSDAY</v>
      </c>
      <c r="F64" s="6" t="str">
        <f t="shared" ref="F64" si="6">UPPER(TEXT(F65,"dddd"))</f>
        <v>FRIDAY</v>
      </c>
      <c r="G64" s="7" t="str">
        <f t="shared" ref="G64" si="7">UPPER(TEXT(G65,"dddd"))</f>
        <v>SATURDAY</v>
      </c>
      <c r="H64" s="6" t="str">
        <f t="shared" ref="H64" si="8">UPPER(TEXT(H65,"dddd"))</f>
        <v>SUNDAY</v>
      </c>
    </row>
    <row r="65" spans="2:14" ht="16.5" customHeight="1" x14ac:dyDescent="0.3">
      <c r="B65" s="4">
        <f t="array" ref="B65:H65">Days+1+DATE(Calendar4Year,Calendar4MonthOption,1)-WEEKDAY(DATE(Calendar4Year,Calendar4MonthOption,1),WeekdayOption)</f>
        <v>46111</v>
      </c>
      <c r="C65" s="4">
        <v>46112</v>
      </c>
      <c r="D65" s="4">
        <v>46113</v>
      </c>
      <c r="E65" s="4">
        <v>46114</v>
      </c>
      <c r="F65" s="4">
        <v>46115</v>
      </c>
      <c r="G65" s="4">
        <v>46116</v>
      </c>
      <c r="H65" s="5">
        <v>46117</v>
      </c>
    </row>
    <row r="66" spans="2:14" ht="36" x14ac:dyDescent="0.35">
      <c r="B66" s="121" t="s">
        <v>291</v>
      </c>
      <c r="C66" s="14" t="s">
        <v>10</v>
      </c>
      <c r="D66" s="92" t="s">
        <v>282</v>
      </c>
      <c r="E66" s="15" t="s">
        <v>18</v>
      </c>
      <c r="F66" s="144" t="s">
        <v>309</v>
      </c>
      <c r="G66" s="4"/>
      <c r="H66" s="144" t="s">
        <v>309</v>
      </c>
    </row>
    <row r="67" spans="2:14" ht="36" x14ac:dyDescent="0.3">
      <c r="B67" s="101"/>
      <c r="C67" s="14" t="s">
        <v>9</v>
      </c>
      <c r="D67" s="97"/>
      <c r="E67" s="14" t="s">
        <v>330</v>
      </c>
      <c r="F67" s="101"/>
      <c r="G67" s="4"/>
      <c r="H67" s="13"/>
    </row>
    <row r="68" spans="2:14" ht="36" x14ac:dyDescent="0.3">
      <c r="B68" s="101"/>
      <c r="C68" s="14" t="s">
        <v>20</v>
      </c>
      <c r="D68" s="9"/>
      <c r="E68" s="113" t="s">
        <v>311</v>
      </c>
      <c r="G68" s="9"/>
      <c r="H68" s="10"/>
    </row>
    <row r="69" spans="2:14" ht="16.5" customHeight="1" x14ac:dyDescent="0.3">
      <c r="B69" s="4">
        <f t="array" ref="B69:H69">Days+8+DATE(Calendar4Year,Calendar4MonthOption,1)-WEEKDAY(DATE(Calendar4Year,Calendar4MonthOption,1),WeekdayOption)</f>
        <v>46118</v>
      </c>
      <c r="C69" s="4">
        <v>46119</v>
      </c>
      <c r="D69" s="4">
        <v>46120</v>
      </c>
      <c r="E69" s="4">
        <v>46121</v>
      </c>
      <c r="F69" s="4">
        <v>46122</v>
      </c>
      <c r="G69" s="4">
        <v>46123</v>
      </c>
      <c r="H69" s="5">
        <v>46124</v>
      </c>
    </row>
    <row r="70" spans="2:14" ht="36" x14ac:dyDescent="0.3">
      <c r="B70" s="144" t="s">
        <v>309</v>
      </c>
      <c r="C70" s="14" t="s">
        <v>10</v>
      </c>
      <c r="D70" s="92" t="s">
        <v>279</v>
      </c>
      <c r="E70" s="93" t="s">
        <v>280</v>
      </c>
      <c r="F70" s="14" t="s">
        <v>330</v>
      </c>
      <c r="G70" s="4"/>
      <c r="H70" s="13"/>
      <c r="L70" s="162" t="s">
        <v>3</v>
      </c>
      <c r="M70" s="163"/>
      <c r="N70" s="164"/>
    </row>
    <row r="71" spans="2:14" ht="36" x14ac:dyDescent="0.3">
      <c r="B71" s="101" t="s">
        <v>20</v>
      </c>
      <c r="C71" s="14" t="s">
        <v>9</v>
      </c>
      <c r="D71" s="14" t="s">
        <v>20</v>
      </c>
      <c r="E71" s="9"/>
      <c r="F71" s="14"/>
      <c r="G71" s="9"/>
      <c r="H71" s="10"/>
      <c r="L71" s="165"/>
      <c r="M71" s="166"/>
      <c r="N71" s="167"/>
    </row>
    <row r="72" spans="2:14" ht="16.5" customHeight="1" x14ac:dyDescent="0.3">
      <c r="B72" s="4">
        <f t="array" ref="B72:H72">Days+15+DATE(Calendar4Year,Calendar4MonthOption,1)-WEEKDAY(DATE(Calendar4Year,Calendar4MonthOption,1),WeekdayOption)</f>
        <v>46125</v>
      </c>
      <c r="C72" s="4">
        <v>46126</v>
      </c>
      <c r="D72" s="4">
        <v>46127</v>
      </c>
      <c r="E72" s="4">
        <v>46128</v>
      </c>
      <c r="F72" s="4">
        <v>46129</v>
      </c>
      <c r="G72" s="4">
        <v>46130</v>
      </c>
      <c r="H72" s="5">
        <v>46131</v>
      </c>
      <c r="L72" s="103" t="s">
        <v>4</v>
      </c>
      <c r="M72" s="104"/>
      <c r="N72" s="28"/>
    </row>
    <row r="73" spans="2:14" ht="36" x14ac:dyDescent="0.3">
      <c r="B73" s="14" t="s">
        <v>9</v>
      </c>
      <c r="C73" s="14" t="s">
        <v>10</v>
      </c>
      <c r="D73" s="92" t="s">
        <v>327</v>
      </c>
      <c r="E73" s="93" t="s">
        <v>283</v>
      </c>
      <c r="F73" s="101"/>
      <c r="G73" s="9"/>
      <c r="H73" s="13"/>
      <c r="L73" s="105" t="s">
        <v>5</v>
      </c>
      <c r="M73" s="106"/>
      <c r="N73" s="29"/>
    </row>
    <row r="74" spans="2:14" ht="24" x14ac:dyDescent="0.3">
      <c r="B74" s="14" t="s">
        <v>20</v>
      </c>
      <c r="C74" s="9"/>
      <c r="D74" s="9"/>
      <c r="E74" s="14" t="s">
        <v>14</v>
      </c>
      <c r="F74" s="101"/>
      <c r="G74" s="9"/>
      <c r="H74" s="10"/>
      <c r="L74" s="107" t="s">
        <v>6</v>
      </c>
      <c r="M74" s="108"/>
      <c r="N74" s="30"/>
    </row>
    <row r="75" spans="2:14" ht="16.5" customHeight="1" x14ac:dyDescent="0.3">
      <c r="B75" s="4">
        <f t="array" ref="B75:H75">Days+22+DATE(Calendar4Year,Calendar4MonthOption,1)-WEEKDAY(DATE(Calendar4Year,Calendar4MonthOption,1),WeekdayOption)</f>
        <v>46132</v>
      </c>
      <c r="C75" s="4">
        <v>46133</v>
      </c>
      <c r="D75" s="4">
        <v>46134</v>
      </c>
      <c r="E75" s="4">
        <v>46135</v>
      </c>
      <c r="F75" s="4">
        <v>46136</v>
      </c>
      <c r="G75" s="4">
        <v>46137</v>
      </c>
      <c r="H75" s="5">
        <v>46138</v>
      </c>
      <c r="L75" s="135" t="s">
        <v>7</v>
      </c>
      <c r="M75" s="136"/>
      <c r="N75" s="137"/>
    </row>
    <row r="76" spans="2:14" ht="36" x14ac:dyDescent="0.3">
      <c r="B76" s="14" t="s">
        <v>20</v>
      </c>
      <c r="C76" s="14" t="s">
        <v>10</v>
      </c>
      <c r="D76" s="92" t="s">
        <v>278</v>
      </c>
      <c r="E76" s="15" t="s">
        <v>11</v>
      </c>
      <c r="F76" s="109" t="s">
        <v>326</v>
      </c>
      <c r="G76" s="122"/>
      <c r="H76" s="13"/>
      <c r="L76" s="160" t="s">
        <v>8</v>
      </c>
      <c r="M76" s="161"/>
      <c r="N76" s="39"/>
    </row>
    <row r="77" spans="2:14" ht="36" x14ac:dyDescent="0.3">
      <c r="B77" s="14" t="s">
        <v>9</v>
      </c>
      <c r="C77" s="9"/>
      <c r="D77" s="15" t="s">
        <v>19</v>
      </c>
      <c r="E77" s="33" t="s">
        <v>12</v>
      </c>
      <c r="F77" s="14" t="s">
        <v>330</v>
      </c>
      <c r="G77" s="4"/>
      <c r="H77" s="13"/>
      <c r="L77" s="139" t="s">
        <v>334</v>
      </c>
      <c r="M77" s="140"/>
      <c r="N77" s="141"/>
    </row>
    <row r="78" spans="2:14" ht="56.25" customHeight="1" x14ac:dyDescent="0.3">
      <c r="B78" s="9"/>
      <c r="C78" s="9"/>
      <c r="D78" s="15" t="s">
        <v>17</v>
      </c>
      <c r="E78" s="33" t="s">
        <v>13</v>
      </c>
      <c r="F78" s="113" t="s">
        <v>311</v>
      </c>
      <c r="G78" s="9"/>
      <c r="H78" s="10"/>
      <c r="L78" s="110" t="s">
        <v>312</v>
      </c>
      <c r="M78" s="111"/>
      <c r="N78" s="112"/>
    </row>
    <row r="79" spans="2:14" ht="16.5" customHeight="1" x14ac:dyDescent="0.3">
      <c r="B79" s="4">
        <f t="array" ref="B79:H79">Days+29+DATE(Calendar4Year,Calendar4MonthOption,1)-WEEKDAY(DATE(Calendar4Year,Calendar4MonthOption,1),WeekdayOption)</f>
        <v>46139</v>
      </c>
      <c r="C79" s="4">
        <v>46140</v>
      </c>
      <c r="D79" s="4">
        <v>46141</v>
      </c>
      <c r="E79" s="4">
        <v>46142</v>
      </c>
      <c r="F79" s="4">
        <v>46143</v>
      </c>
      <c r="G79" s="4">
        <v>46144</v>
      </c>
      <c r="H79" s="5">
        <v>46145</v>
      </c>
    </row>
    <row r="80" spans="2:14" ht="32.450000000000003" customHeight="1" x14ac:dyDescent="0.3">
      <c r="B80" s="147" t="s">
        <v>308</v>
      </c>
      <c r="C80" s="14" t="s">
        <v>10</v>
      </c>
      <c r="D80" s="14" t="s">
        <v>20</v>
      </c>
      <c r="E80" s="4"/>
      <c r="F80" s="4"/>
      <c r="G80" s="4"/>
      <c r="H80" s="13"/>
    </row>
    <row r="81" spans="1:14" ht="57" customHeight="1" x14ac:dyDescent="0.3">
      <c r="B81" s="9"/>
      <c r="C81" s="14" t="s">
        <v>9</v>
      </c>
      <c r="D81" s="9"/>
      <c r="E81" s="9"/>
      <c r="F81" s="9"/>
      <c r="G81" s="9"/>
      <c r="H81" s="11"/>
    </row>
    <row r="82" spans="1:14" ht="33" customHeight="1" x14ac:dyDescent="0.3">
      <c r="B82" s="9"/>
      <c r="C82" s="9"/>
      <c r="D82" s="156"/>
      <c r="E82" s="156"/>
      <c r="F82" s="156"/>
      <c r="G82" s="156"/>
      <c r="H82" s="156"/>
    </row>
    <row r="83" spans="1:14" ht="54" customHeight="1" x14ac:dyDescent="0.7">
      <c r="A83" s="2"/>
      <c r="B83" s="1">
        <f>YEAR(DATE(Calendar4Year,Calendar4MonthOption+1,1))</f>
        <v>2026</v>
      </c>
      <c r="C83" s="155" t="str">
        <f>TEXT(DATE(Calendar4Year,Calendar4MonthOption+1,1),"mmmm")</f>
        <v>May</v>
      </c>
      <c r="D83" s="155"/>
      <c r="E83" s="155"/>
      <c r="F83" s="8"/>
      <c r="G83" s="8"/>
      <c r="H83" s="2"/>
    </row>
    <row r="84" spans="1:14" ht="14.25" customHeight="1" x14ac:dyDescent="0.3">
      <c r="A84" s="3"/>
      <c r="B84" s="6" t="str">
        <f>UPPER(TEXT(B85,"dddd"))</f>
        <v>MONDAY</v>
      </c>
      <c r="C84" s="7" t="str">
        <f t="shared" ref="C84" si="9">UPPER(TEXT(C85,"dddd"))</f>
        <v>TUESDAY</v>
      </c>
      <c r="D84" s="6" t="str">
        <f t="shared" ref="D84" si="10">UPPER(TEXT(D85,"dddd"))</f>
        <v>WEDNESDAY</v>
      </c>
      <c r="E84" s="7" t="str">
        <f t="shared" ref="E84" si="11">UPPER(TEXT(E85,"dddd"))</f>
        <v>THURSDAY</v>
      </c>
      <c r="F84" s="6" t="str">
        <f t="shared" ref="F84" si="12">UPPER(TEXT(F85,"dddd"))</f>
        <v>FRIDAY</v>
      </c>
      <c r="G84" s="7" t="str">
        <f t="shared" ref="G84" si="13">UPPER(TEXT(G85,"dddd"))</f>
        <v>SATURDAY</v>
      </c>
      <c r="H84" s="6" t="str">
        <f t="shared" ref="H84" si="14">UPPER(TEXT(H85,"dddd"))</f>
        <v>SUNDAY</v>
      </c>
    </row>
    <row r="85" spans="1:14" ht="16.5" customHeight="1" x14ac:dyDescent="0.3">
      <c r="B85" s="4">
        <f t="array" ref="B85:H85">Days+1+DATE(Calendar5Year,Calendar5MonthOption,1)-WEEKDAY(DATE(Calendar5Year,Calendar5MonthOption,1),WeekdayOption)</f>
        <v>46139</v>
      </c>
      <c r="C85" s="4">
        <v>46140</v>
      </c>
      <c r="D85" s="4">
        <v>46141</v>
      </c>
      <c r="E85" s="4">
        <v>46142</v>
      </c>
      <c r="F85" s="4">
        <v>46143</v>
      </c>
      <c r="G85" s="4">
        <v>46144</v>
      </c>
      <c r="H85" s="5">
        <v>46145</v>
      </c>
    </row>
    <row r="86" spans="1:14" ht="36" x14ac:dyDescent="0.3">
      <c r="B86" s="101" t="s">
        <v>308</v>
      </c>
      <c r="C86" s="4"/>
      <c r="D86" s="15" t="s">
        <v>18</v>
      </c>
      <c r="E86" s="101"/>
      <c r="F86" s="145" t="s">
        <v>308</v>
      </c>
      <c r="G86" s="4"/>
      <c r="H86" s="13"/>
    </row>
    <row r="87" spans="1:14" ht="24" x14ac:dyDescent="0.3">
      <c r="B87" s="9"/>
      <c r="C87" s="9"/>
      <c r="D87" s="95" t="s">
        <v>285</v>
      </c>
      <c r="E87" s="14" t="s">
        <v>330</v>
      </c>
      <c r="F87" s="101"/>
      <c r="G87" s="9"/>
      <c r="H87" s="10"/>
    </row>
    <row r="88" spans="1:14" ht="16.5" customHeight="1" x14ac:dyDescent="0.3">
      <c r="B88" s="4">
        <f t="array" ref="B88:H88">Days+8+DATE(Calendar5Year,Calendar5MonthOption,1)-WEEKDAY(DATE(Calendar5Year,Calendar5MonthOption,1),WeekdayOption)</f>
        <v>46146</v>
      </c>
      <c r="C88" s="4">
        <v>46147</v>
      </c>
      <c r="D88" s="4">
        <v>46148</v>
      </c>
      <c r="E88" s="4">
        <v>46149</v>
      </c>
      <c r="F88" s="4">
        <v>46150</v>
      </c>
      <c r="G88" s="4">
        <v>46151</v>
      </c>
      <c r="H88" s="5">
        <v>46152</v>
      </c>
    </row>
    <row r="89" spans="1:14" ht="36" x14ac:dyDescent="0.3">
      <c r="B89" s="14" t="s">
        <v>9</v>
      </c>
      <c r="C89" s="14" t="s">
        <v>10</v>
      </c>
      <c r="D89" s="95" t="s">
        <v>327</v>
      </c>
      <c r="E89" s="95" t="s">
        <v>286</v>
      </c>
      <c r="F89" s="14" t="s">
        <v>330</v>
      </c>
      <c r="G89" s="4"/>
      <c r="H89" s="145" t="s">
        <v>308</v>
      </c>
      <c r="L89" s="168" t="s">
        <v>3</v>
      </c>
      <c r="M89" s="169"/>
      <c r="N89" s="170"/>
    </row>
    <row r="90" spans="1:14" ht="36" x14ac:dyDescent="0.3">
      <c r="B90" s="14" t="s">
        <v>20</v>
      </c>
      <c r="C90" s="9"/>
      <c r="D90" s="9"/>
      <c r="E90" s="9"/>
      <c r="F90" s="113" t="s">
        <v>311</v>
      </c>
      <c r="G90" s="9"/>
      <c r="H90" s="10"/>
      <c r="L90" s="171"/>
      <c r="M90" s="172"/>
      <c r="N90" s="173"/>
    </row>
    <row r="91" spans="1:14" ht="16.5" customHeight="1" x14ac:dyDescent="0.3">
      <c r="B91" s="4">
        <f t="array" ref="B91:H91">Days+15+DATE(Calendar5Year,Calendar5MonthOption,1)-WEEKDAY(DATE(Calendar5Year,Calendar5MonthOption,1),WeekdayOption)</f>
        <v>46153</v>
      </c>
      <c r="C91" s="4">
        <v>46154</v>
      </c>
      <c r="D91" s="4">
        <v>46155</v>
      </c>
      <c r="E91" s="4">
        <v>46156</v>
      </c>
      <c r="F91" s="4">
        <v>46157</v>
      </c>
      <c r="G91" s="4">
        <v>46158</v>
      </c>
      <c r="H91" s="5">
        <v>46159</v>
      </c>
      <c r="L91" s="103" t="s">
        <v>4</v>
      </c>
      <c r="M91" s="104"/>
      <c r="N91" s="28"/>
    </row>
    <row r="92" spans="1:14" ht="36" x14ac:dyDescent="0.3">
      <c r="B92" s="14" t="s">
        <v>9</v>
      </c>
      <c r="C92" s="14" t="s">
        <v>10</v>
      </c>
      <c r="D92" s="95" t="s">
        <v>328</v>
      </c>
      <c r="E92" s="94" t="s">
        <v>283</v>
      </c>
      <c r="F92" s="14" t="s">
        <v>330</v>
      </c>
      <c r="G92" s="4"/>
      <c r="H92" s="13"/>
      <c r="L92" s="105" t="s">
        <v>5</v>
      </c>
      <c r="M92" s="106"/>
      <c r="N92" s="29"/>
    </row>
    <row r="93" spans="1:14" ht="36" x14ac:dyDescent="0.3">
      <c r="B93" s="14" t="s">
        <v>20</v>
      </c>
      <c r="C93" s="9"/>
      <c r="D93" s="9"/>
      <c r="E93" s="94" t="s">
        <v>284</v>
      </c>
      <c r="F93" s="101"/>
      <c r="G93" s="9"/>
      <c r="H93" s="10"/>
      <c r="L93" s="107" t="s">
        <v>6</v>
      </c>
      <c r="M93" s="108"/>
      <c r="N93" s="30"/>
    </row>
    <row r="94" spans="1:14" ht="16.5" customHeight="1" x14ac:dyDescent="0.3">
      <c r="B94" s="4">
        <f t="array" ref="B94:H94">Days+22+DATE(Calendar5Year,Calendar5MonthOption,1)-WEEKDAY(DATE(Calendar5Year,Calendar5MonthOption,1),WeekdayOption)</f>
        <v>46160</v>
      </c>
      <c r="C94" s="4">
        <v>46161</v>
      </c>
      <c r="D94" s="4">
        <v>46162</v>
      </c>
      <c r="E94" s="4">
        <v>46163</v>
      </c>
      <c r="F94" s="4">
        <v>46164</v>
      </c>
      <c r="G94" s="4">
        <v>46165</v>
      </c>
      <c r="H94" s="5">
        <v>46166</v>
      </c>
      <c r="L94" s="135" t="s">
        <v>7</v>
      </c>
      <c r="M94" s="136"/>
      <c r="N94" s="137"/>
    </row>
    <row r="95" spans="1:14" ht="48" x14ac:dyDescent="0.3">
      <c r="B95" s="14" t="s">
        <v>9</v>
      </c>
      <c r="C95" s="14" t="s">
        <v>10</v>
      </c>
      <c r="D95" s="15" t="s">
        <v>17</v>
      </c>
      <c r="E95" s="15" t="s">
        <v>19</v>
      </c>
      <c r="F95" s="14" t="s">
        <v>330</v>
      </c>
      <c r="G95" s="4"/>
      <c r="H95" s="13"/>
      <c r="L95" s="160" t="s">
        <v>8</v>
      </c>
      <c r="M95" s="161"/>
      <c r="N95" s="39"/>
    </row>
    <row r="96" spans="1:14" ht="36" x14ac:dyDescent="0.3">
      <c r="B96" s="14" t="s">
        <v>20</v>
      </c>
      <c r="C96" s="9"/>
      <c r="D96" s="9"/>
      <c r="E96" s="9"/>
      <c r="F96" s="113" t="s">
        <v>311</v>
      </c>
      <c r="G96" s="9"/>
      <c r="H96" s="10"/>
      <c r="L96" s="139" t="s">
        <v>334</v>
      </c>
      <c r="M96" s="140"/>
      <c r="N96" s="141"/>
    </row>
    <row r="97" spans="1:14" ht="16.5" customHeight="1" x14ac:dyDescent="0.3">
      <c r="B97" s="4">
        <f t="array" ref="B97:H97">Days+29+DATE(Calendar5Year,Calendar5MonthOption,1)-WEEKDAY(DATE(Calendar5Year,Calendar5MonthOption,1),WeekdayOption)</f>
        <v>46167</v>
      </c>
      <c r="C97" s="4">
        <v>46168</v>
      </c>
      <c r="D97" s="4">
        <v>46169</v>
      </c>
      <c r="E97" s="4">
        <v>46170</v>
      </c>
      <c r="F97" s="4">
        <v>46171</v>
      </c>
      <c r="G97" s="4">
        <v>46172</v>
      </c>
      <c r="H97" s="5">
        <v>46173</v>
      </c>
      <c r="L97" s="110" t="s">
        <v>312</v>
      </c>
      <c r="M97" s="111"/>
      <c r="N97" s="112"/>
    </row>
    <row r="98" spans="1:14" ht="36" x14ac:dyDescent="0.3">
      <c r="B98" s="4"/>
      <c r="C98" s="4"/>
      <c r="D98" s="15" t="s">
        <v>11</v>
      </c>
      <c r="E98" s="109" t="s">
        <v>329</v>
      </c>
      <c r="F98" s="101" t="s">
        <v>291</v>
      </c>
      <c r="G98" s="4"/>
      <c r="H98" s="13"/>
    </row>
    <row r="99" spans="1:14" ht="36" x14ac:dyDescent="0.3">
      <c r="B99" s="14" t="s">
        <v>9</v>
      </c>
      <c r="C99" s="14" t="s">
        <v>10</v>
      </c>
      <c r="D99" s="33" t="s">
        <v>12</v>
      </c>
      <c r="F99" s="4"/>
      <c r="G99" s="4"/>
      <c r="H99" s="13"/>
    </row>
    <row r="100" spans="1:14" ht="36" x14ac:dyDescent="0.3">
      <c r="B100" s="14" t="s">
        <v>20</v>
      </c>
      <c r="C100" s="9"/>
      <c r="D100" s="33" t="s">
        <v>13</v>
      </c>
      <c r="E100" s="9"/>
      <c r="F100" s="9"/>
      <c r="G100" s="9"/>
      <c r="H100" s="11"/>
    </row>
    <row r="101" spans="1:14" ht="42.6" customHeight="1" x14ac:dyDescent="0.3">
      <c r="B101" s="9"/>
      <c r="C101" s="9"/>
      <c r="D101" s="156"/>
      <c r="E101" s="156"/>
      <c r="F101" s="156"/>
      <c r="G101" s="156"/>
      <c r="H101" s="156"/>
    </row>
    <row r="102" spans="1:14" ht="54" customHeight="1" x14ac:dyDescent="0.7">
      <c r="A102" s="2"/>
      <c r="B102" s="1">
        <f>YEAR(DATE(Calendar5Year,Calendar5MonthOption+1,1))</f>
        <v>2026</v>
      </c>
      <c r="C102" s="155" t="str">
        <f>TEXT(DATE(Calendar5Year,Calendar5MonthOption+1,1),"mmmm")</f>
        <v>June</v>
      </c>
      <c r="D102" s="155"/>
      <c r="E102" s="155"/>
      <c r="F102" s="8"/>
      <c r="G102" s="8"/>
      <c r="H102" s="2"/>
    </row>
    <row r="103" spans="1:14" ht="14.25" customHeight="1" x14ac:dyDescent="0.3">
      <c r="A103" s="3"/>
      <c r="B103" s="6" t="str">
        <f>UPPER(TEXT(B104,"dddd"))</f>
        <v>MONDAY</v>
      </c>
      <c r="C103" s="7" t="str">
        <f t="shared" ref="C103" si="15">UPPER(TEXT(C104,"dddd"))</f>
        <v>TUESDAY</v>
      </c>
      <c r="D103" s="6" t="str">
        <f t="shared" ref="D103" si="16">UPPER(TEXT(D104,"dddd"))</f>
        <v>WEDNESDAY</v>
      </c>
      <c r="E103" s="7" t="str">
        <f t="shared" ref="E103" si="17">UPPER(TEXT(E104,"dddd"))</f>
        <v>THURSDAY</v>
      </c>
      <c r="F103" s="6" t="str">
        <f t="shared" ref="F103" si="18">UPPER(TEXT(F104,"dddd"))</f>
        <v>FRIDAY</v>
      </c>
      <c r="G103" s="7" t="str">
        <f t="shared" ref="G103" si="19">UPPER(TEXT(G104,"dddd"))</f>
        <v>SATURDAY</v>
      </c>
      <c r="H103" s="6" t="str">
        <f t="shared" ref="H103" si="20">UPPER(TEXT(H104,"dddd"))</f>
        <v>SUNDAY</v>
      </c>
    </row>
    <row r="104" spans="1:14" ht="16.5" customHeight="1" x14ac:dyDescent="0.3">
      <c r="B104" s="4">
        <f t="array" ref="B104:H104">Days+1+DATE(Calendar6Year,Calendar6MonthOption,1)-WEEKDAY(DATE(Calendar6Year,Calendar6MonthOption,1),WeekdayOption)</f>
        <v>46174</v>
      </c>
      <c r="C104" s="4">
        <v>46175</v>
      </c>
      <c r="D104" s="4">
        <v>46176</v>
      </c>
      <c r="E104" s="4">
        <v>46177</v>
      </c>
      <c r="F104" s="4">
        <v>46178</v>
      </c>
      <c r="G104" s="4">
        <v>46179</v>
      </c>
      <c r="H104" s="5">
        <v>46180</v>
      </c>
    </row>
    <row r="105" spans="1:14" ht="0.6" customHeight="1" x14ac:dyDescent="0.3">
      <c r="B105" s="4"/>
      <c r="C105" s="4"/>
      <c r="D105" s="4"/>
      <c r="E105" s="4"/>
      <c r="F105" s="4"/>
      <c r="G105" s="4"/>
      <c r="H105" s="13"/>
    </row>
    <row r="106" spans="1:14" ht="11.45" hidden="1" customHeight="1" x14ac:dyDescent="0.3">
      <c r="B106" s="9"/>
      <c r="C106" s="9"/>
      <c r="D106" s="9"/>
      <c r="E106" s="9"/>
      <c r="F106" s="9"/>
      <c r="G106" s="9"/>
      <c r="H106" s="10"/>
    </row>
    <row r="107" spans="1:14" ht="16.5" customHeight="1" x14ac:dyDescent="0.3">
      <c r="B107" s="4">
        <f t="array" ref="B107:H107">Days+8+DATE(Calendar6Year,Calendar6MonthOption,1)-WEEKDAY(DATE(Calendar6Year,Calendar6MonthOption,1),WeekdayOption)</f>
        <v>46181</v>
      </c>
      <c r="C107" s="4">
        <v>46182</v>
      </c>
      <c r="D107" s="4">
        <v>46183</v>
      </c>
      <c r="E107" s="4">
        <v>46184</v>
      </c>
      <c r="F107" s="4">
        <v>46185</v>
      </c>
      <c r="G107" s="4">
        <v>46186</v>
      </c>
      <c r="H107" s="5">
        <v>46187</v>
      </c>
    </row>
    <row r="108" spans="1:14" ht="36" x14ac:dyDescent="0.3">
      <c r="B108" s="14" t="s">
        <v>9</v>
      </c>
      <c r="C108" s="14" t="s">
        <v>10</v>
      </c>
      <c r="D108" s="34" t="s">
        <v>283</v>
      </c>
      <c r="E108" s="34" t="s">
        <v>284</v>
      </c>
      <c r="F108" s="14" t="s">
        <v>330</v>
      </c>
      <c r="G108" s="4"/>
      <c r="H108" s="13"/>
      <c r="K108" s="162" t="s">
        <v>3</v>
      </c>
      <c r="L108" s="163"/>
      <c r="M108" s="164"/>
    </row>
    <row r="109" spans="1:14" ht="36" x14ac:dyDescent="0.3">
      <c r="B109" s="14" t="s">
        <v>20</v>
      </c>
      <c r="C109" s="15" t="s">
        <v>18</v>
      </c>
      <c r="D109" s="31" t="s">
        <v>28</v>
      </c>
      <c r="E109" s="97" t="s">
        <v>289</v>
      </c>
      <c r="F109" s="101"/>
      <c r="G109" s="4"/>
      <c r="H109" s="13"/>
      <c r="K109" s="165"/>
      <c r="L109" s="166"/>
      <c r="M109" s="167"/>
    </row>
    <row r="110" spans="1:14" ht="56.25" customHeight="1" x14ac:dyDescent="0.3">
      <c r="B110" s="150" t="s">
        <v>335</v>
      </c>
      <c r="C110" s="9"/>
      <c r="D110" s="9"/>
      <c r="E110" s="97" t="s">
        <v>279</v>
      </c>
      <c r="F110" s="9"/>
      <c r="G110" s="9"/>
      <c r="H110" s="10"/>
      <c r="K110" s="103" t="s">
        <v>4</v>
      </c>
      <c r="L110" s="104"/>
      <c r="M110" s="28"/>
    </row>
    <row r="111" spans="1:14" ht="16.5" customHeight="1" x14ac:dyDescent="0.3">
      <c r="B111" s="4">
        <f t="array" ref="B111:H111">Days+15+DATE(Calendar6Year,Calendar6MonthOption,1)-WEEKDAY(DATE(Calendar6Year,Calendar6MonthOption,1),WeekdayOption)</f>
        <v>46188</v>
      </c>
      <c r="C111" s="4">
        <v>46189</v>
      </c>
      <c r="D111" s="4">
        <v>46190</v>
      </c>
      <c r="E111" s="4">
        <v>46191</v>
      </c>
      <c r="F111" s="4">
        <v>46192</v>
      </c>
      <c r="G111" s="4">
        <v>46193</v>
      </c>
      <c r="H111" s="5">
        <v>46194</v>
      </c>
      <c r="K111" s="105" t="s">
        <v>5</v>
      </c>
      <c r="L111" s="106"/>
      <c r="M111" s="29"/>
    </row>
    <row r="112" spans="1:14" ht="36" x14ac:dyDescent="0.3">
      <c r="B112" s="31" t="s">
        <v>23</v>
      </c>
      <c r="C112" s="9"/>
      <c r="D112" s="31" t="s">
        <v>22</v>
      </c>
      <c r="E112" s="101" t="s">
        <v>291</v>
      </c>
      <c r="F112" s="31" t="s">
        <v>24</v>
      </c>
      <c r="G112" s="4"/>
      <c r="H112" s="146" t="s">
        <v>308</v>
      </c>
      <c r="K112" s="107" t="s">
        <v>6</v>
      </c>
      <c r="L112" s="108"/>
      <c r="M112" s="30"/>
    </row>
    <row r="113" spans="1:13" ht="36" x14ac:dyDescent="0.3">
      <c r="B113" s="14" t="s">
        <v>20</v>
      </c>
      <c r="C113" s="146" t="s">
        <v>308</v>
      </c>
      <c r="D113" s="14" t="s">
        <v>10</v>
      </c>
      <c r="E113" s="113" t="s">
        <v>311</v>
      </c>
      <c r="F113" s="31" t="s">
        <v>287</v>
      </c>
      <c r="G113" s="9"/>
      <c r="H113" s="10"/>
      <c r="K113" s="135" t="s">
        <v>7</v>
      </c>
      <c r="L113" s="136"/>
      <c r="M113" s="137"/>
    </row>
    <row r="114" spans="1:13" ht="16.5" customHeight="1" x14ac:dyDescent="0.3">
      <c r="B114" s="4">
        <f t="array" ref="B114:H114">Days+22+DATE(Calendar6Year,Calendar6MonthOption,1)-WEEKDAY(DATE(Calendar6Year,Calendar6MonthOption,1),WeekdayOption)</f>
        <v>46195</v>
      </c>
      <c r="C114" s="4">
        <v>46196</v>
      </c>
      <c r="D114" s="4">
        <v>46197</v>
      </c>
      <c r="E114" s="4">
        <v>46198</v>
      </c>
      <c r="F114" s="4">
        <v>46199</v>
      </c>
      <c r="G114" s="4">
        <v>46200</v>
      </c>
      <c r="H114" s="5">
        <v>46201</v>
      </c>
      <c r="K114" s="160" t="s">
        <v>8</v>
      </c>
      <c r="L114" s="161"/>
      <c r="M114" s="39"/>
    </row>
    <row r="115" spans="1:13" ht="48" x14ac:dyDescent="0.3">
      <c r="B115" s="9"/>
      <c r="C115" s="14" t="s">
        <v>10</v>
      </c>
      <c r="D115" s="31" t="s">
        <v>27</v>
      </c>
      <c r="E115" s="37" t="s">
        <v>30</v>
      </c>
      <c r="F115" s="14" t="s">
        <v>330</v>
      </c>
      <c r="G115" s="4"/>
      <c r="H115" s="13"/>
      <c r="K115" s="139" t="s">
        <v>334</v>
      </c>
      <c r="L115" s="140"/>
      <c r="M115" s="141"/>
    </row>
    <row r="116" spans="1:13" ht="36" x14ac:dyDescent="0.3">
      <c r="B116" s="9"/>
      <c r="C116" s="14" t="s">
        <v>9</v>
      </c>
      <c r="D116" s="31" t="s">
        <v>26</v>
      </c>
      <c r="E116" s="9"/>
      <c r="F116" s="101"/>
      <c r="G116" s="9"/>
      <c r="H116" s="10"/>
      <c r="K116" s="110" t="s">
        <v>312</v>
      </c>
      <c r="L116" s="111"/>
      <c r="M116" s="112"/>
    </row>
    <row r="117" spans="1:13" ht="16.5" customHeight="1" x14ac:dyDescent="0.3">
      <c r="B117" s="4">
        <f t="array" ref="B117:H117">Days+29+DATE(Calendar6Year,Calendar6MonthOption,1)-WEEKDAY(DATE(Calendar6Year,Calendar6MonthOption,1),WeekdayOption)</f>
        <v>46202</v>
      </c>
      <c r="C117" s="4">
        <v>46203</v>
      </c>
      <c r="D117" s="4">
        <v>46204</v>
      </c>
      <c r="E117" s="4">
        <v>46205</v>
      </c>
      <c r="F117" s="4">
        <v>46206</v>
      </c>
      <c r="G117" s="4">
        <v>46207</v>
      </c>
      <c r="H117" s="5">
        <v>46208</v>
      </c>
    </row>
    <row r="118" spans="1:13" ht="36" x14ac:dyDescent="0.3">
      <c r="B118" s="14" t="s">
        <v>9</v>
      </c>
      <c r="C118" s="14" t="s">
        <v>10</v>
      </c>
      <c r="D118" s="101" t="s">
        <v>291</v>
      </c>
      <c r="E118" s="37" t="s">
        <v>31</v>
      </c>
      <c r="F118" s="14" t="s">
        <v>330</v>
      </c>
      <c r="G118" s="4"/>
      <c r="H118" s="13"/>
    </row>
    <row r="119" spans="1:13" ht="36" x14ac:dyDescent="0.3">
      <c r="B119" s="14" t="s">
        <v>20</v>
      </c>
      <c r="C119" s="9"/>
      <c r="D119" s="113" t="s">
        <v>311</v>
      </c>
      <c r="E119" s="38" t="s">
        <v>32</v>
      </c>
      <c r="F119" s="101"/>
      <c r="G119" s="4"/>
      <c r="H119" s="13"/>
    </row>
    <row r="120" spans="1:13" ht="57" customHeight="1" x14ac:dyDescent="0.3">
      <c r="B120" s="9"/>
      <c r="C120" s="9"/>
      <c r="D120" s="9"/>
      <c r="E120" s="36" t="s">
        <v>288</v>
      </c>
      <c r="F120" s="101"/>
      <c r="G120" s="9"/>
      <c r="H120" s="11"/>
    </row>
    <row r="121" spans="1:13" ht="16.5" customHeight="1" x14ac:dyDescent="0.3">
      <c r="B121" s="4">
        <f t="array" ref="B121:C121">Days+36+DATE(Calendar6Year,Calendar6MonthOption,1)-WEEKDAY(DATE(Calendar6Year,Calendar6MonthOption,1),WeekdayOption)</f>
        <v>46209</v>
      </c>
      <c r="C121" s="4">
        <v>46210</v>
      </c>
      <c r="D121" s="157" t="s">
        <v>0</v>
      </c>
      <c r="E121" s="158"/>
      <c r="F121" s="158"/>
      <c r="G121" s="158"/>
      <c r="H121" s="158"/>
    </row>
    <row r="122" spans="1:13" ht="27" customHeight="1" x14ac:dyDescent="0.3">
      <c r="B122" s="9"/>
      <c r="C122" s="9"/>
      <c r="D122" s="156"/>
      <c r="E122" s="156"/>
      <c r="F122" s="156"/>
      <c r="G122" s="156"/>
      <c r="H122" s="156"/>
    </row>
    <row r="123" spans="1:13" ht="54" customHeight="1" x14ac:dyDescent="0.7">
      <c r="A123" s="2"/>
      <c r="B123" s="1">
        <f>YEAR(DATE(Calendar6Year,Calendar6MonthOption+1,1))</f>
        <v>2026</v>
      </c>
      <c r="C123" s="155" t="str">
        <f>TEXT(DATE(Calendar6Year,Calendar6MonthOption+1,1),"mmmm")</f>
        <v>July</v>
      </c>
      <c r="D123" s="155"/>
      <c r="E123" s="155"/>
      <c r="F123" s="8"/>
      <c r="G123" s="8"/>
      <c r="H123" s="2"/>
    </row>
    <row r="124" spans="1:13" ht="14.25" customHeight="1" x14ac:dyDescent="0.3">
      <c r="A124" s="3"/>
      <c r="B124" s="6" t="str">
        <f>UPPER(TEXT(B125,"dddd"))</f>
        <v>MONDAY</v>
      </c>
      <c r="C124" s="7" t="str">
        <f t="shared" ref="C124" si="21">UPPER(TEXT(C125,"dddd"))</f>
        <v>TUESDAY</v>
      </c>
      <c r="D124" s="6" t="str">
        <f t="shared" ref="D124" si="22">UPPER(TEXT(D125,"dddd"))</f>
        <v>WEDNESDAY</v>
      </c>
      <c r="E124" s="7" t="str">
        <f t="shared" ref="E124" si="23">UPPER(TEXT(E125,"dddd"))</f>
        <v>THURSDAY</v>
      </c>
      <c r="F124" s="6" t="str">
        <f t="shared" ref="F124" si="24">UPPER(TEXT(F125,"dddd"))</f>
        <v>FRIDAY</v>
      </c>
      <c r="G124" s="7" t="str">
        <f t="shared" ref="G124" si="25">UPPER(TEXT(G125,"dddd"))</f>
        <v>SATURDAY</v>
      </c>
      <c r="H124" s="6" t="str">
        <f t="shared" ref="H124" si="26">UPPER(TEXT(H125,"dddd"))</f>
        <v>SUNDAY</v>
      </c>
    </row>
    <row r="125" spans="1:13" ht="16.5" customHeight="1" x14ac:dyDescent="0.3">
      <c r="B125" s="4">
        <f t="array" ref="B125:H125">Days+1+DATE(Calendar7Year,Calendar7MonthOption,1)-WEEKDAY(DATE(Calendar7Year,Calendar7MonthOption,1),WeekdayOption)</f>
        <v>46202</v>
      </c>
      <c r="C125" s="4">
        <v>46203</v>
      </c>
      <c r="D125" s="4">
        <v>46204</v>
      </c>
      <c r="E125" s="4">
        <v>46205</v>
      </c>
      <c r="F125" s="4">
        <v>46206</v>
      </c>
      <c r="G125" s="4">
        <v>46207</v>
      </c>
      <c r="H125" s="5">
        <v>46208</v>
      </c>
    </row>
    <row r="126" spans="1:13" ht="45" x14ac:dyDescent="0.3">
      <c r="B126" s="14" t="s">
        <v>9</v>
      </c>
      <c r="C126" s="14" t="s">
        <v>10</v>
      </c>
      <c r="D126" s="15" t="s">
        <v>18</v>
      </c>
      <c r="E126" s="98" t="s">
        <v>291</v>
      </c>
      <c r="F126" s="14" t="s">
        <v>330</v>
      </c>
      <c r="G126" s="4"/>
      <c r="H126" s="13"/>
    </row>
    <row r="127" spans="1:13" ht="56.25" customHeight="1" x14ac:dyDescent="0.3">
      <c r="B127" s="14" t="s">
        <v>20</v>
      </c>
      <c r="C127" s="9"/>
      <c r="D127" s="15" t="s">
        <v>290</v>
      </c>
      <c r="E127" s="9"/>
      <c r="F127" s="101"/>
      <c r="G127" s="9"/>
      <c r="H127" s="10"/>
    </row>
    <row r="128" spans="1:13" ht="16.5" customHeight="1" x14ac:dyDescent="0.3">
      <c r="B128" s="4">
        <f t="array" ref="B128:H128">Days+8+DATE(Calendar7Year,Calendar7MonthOption,1)-WEEKDAY(DATE(Calendar7Year,Calendar7MonthOption,1),WeekdayOption)</f>
        <v>46209</v>
      </c>
      <c r="C128" s="4">
        <v>46210</v>
      </c>
      <c r="D128" s="4">
        <v>46211</v>
      </c>
      <c r="E128" s="4">
        <v>46212</v>
      </c>
      <c r="F128" s="4">
        <v>46213</v>
      </c>
      <c r="G128" s="4">
        <v>46214</v>
      </c>
      <c r="H128" s="5">
        <v>46215</v>
      </c>
    </row>
    <row r="129" spans="1:13" ht="36" x14ac:dyDescent="0.3">
      <c r="B129" s="14" t="s">
        <v>9</v>
      </c>
      <c r="C129" s="14" t="s">
        <v>10</v>
      </c>
      <c r="D129" s="101" t="s">
        <v>291</v>
      </c>
      <c r="E129" s="94" t="s">
        <v>284</v>
      </c>
      <c r="F129" s="14" t="s">
        <v>330</v>
      </c>
      <c r="G129" s="4"/>
      <c r="H129" s="13"/>
      <c r="K129" s="162" t="s">
        <v>3</v>
      </c>
      <c r="L129" s="163"/>
      <c r="M129" s="164"/>
    </row>
    <row r="130" spans="1:13" ht="56.25" customHeight="1" x14ac:dyDescent="0.3">
      <c r="B130" s="14" t="s">
        <v>20</v>
      </c>
      <c r="C130" s="9"/>
      <c r="D130" s="9"/>
      <c r="E130" s="113" t="s">
        <v>311</v>
      </c>
      <c r="F130" s="101"/>
      <c r="G130" s="9"/>
      <c r="H130" s="10"/>
      <c r="K130" s="165"/>
      <c r="L130" s="166"/>
      <c r="M130" s="167"/>
    </row>
    <row r="131" spans="1:13" ht="16.5" customHeight="1" x14ac:dyDescent="0.3">
      <c r="B131" s="4">
        <f t="array" ref="B131:H131">Days+15+DATE(Calendar7Year,Calendar7MonthOption,1)-WEEKDAY(DATE(Calendar7Year,Calendar7MonthOption,1),WeekdayOption)</f>
        <v>46216</v>
      </c>
      <c r="C131" s="4">
        <v>46217</v>
      </c>
      <c r="D131" s="4">
        <v>46218</v>
      </c>
      <c r="E131" s="4">
        <v>46219</v>
      </c>
      <c r="F131" s="4">
        <v>46220</v>
      </c>
      <c r="G131" s="4">
        <v>46221</v>
      </c>
      <c r="H131" s="5">
        <v>46222</v>
      </c>
      <c r="K131" s="103" t="s">
        <v>4</v>
      </c>
      <c r="L131" s="104"/>
      <c r="M131" s="28"/>
    </row>
    <row r="132" spans="1:13" ht="36" x14ac:dyDescent="0.3">
      <c r="B132" s="14" t="s">
        <v>9</v>
      </c>
      <c r="C132" s="14" t="s">
        <v>10</v>
      </c>
      <c r="D132" s="15" t="s">
        <v>19</v>
      </c>
      <c r="E132" s="101" t="s">
        <v>308</v>
      </c>
      <c r="F132" s="14" t="s">
        <v>330</v>
      </c>
      <c r="G132" s="146" t="s">
        <v>308</v>
      </c>
      <c r="H132" s="13"/>
      <c r="K132" s="105" t="s">
        <v>5</v>
      </c>
      <c r="L132" s="106"/>
      <c r="M132" s="29"/>
    </row>
    <row r="133" spans="1:13" ht="48" x14ac:dyDescent="0.3">
      <c r="B133" s="14" t="s">
        <v>20</v>
      </c>
      <c r="C133" s="9"/>
      <c r="D133" s="15" t="s">
        <v>17</v>
      </c>
      <c r="E133" s="9"/>
      <c r="F133" s="101"/>
      <c r="G133" s="9"/>
      <c r="H133" s="10"/>
      <c r="K133" s="107" t="s">
        <v>6</v>
      </c>
      <c r="L133" s="108"/>
      <c r="M133" s="30"/>
    </row>
    <row r="134" spans="1:13" ht="16.5" customHeight="1" x14ac:dyDescent="0.3">
      <c r="B134" s="4">
        <f t="array" ref="B134:H134">Days+22+DATE(Calendar7Year,Calendar7MonthOption,1)-WEEKDAY(DATE(Calendar7Year,Calendar7MonthOption,1),WeekdayOption)</f>
        <v>46223</v>
      </c>
      <c r="C134" s="4">
        <v>46224</v>
      </c>
      <c r="D134" s="4">
        <v>46225</v>
      </c>
      <c r="E134" s="4">
        <v>46226</v>
      </c>
      <c r="F134" s="4">
        <v>46227</v>
      </c>
      <c r="G134" s="4">
        <v>46228</v>
      </c>
      <c r="H134" s="5">
        <v>46229</v>
      </c>
      <c r="K134" s="135" t="s">
        <v>7</v>
      </c>
      <c r="L134" s="136"/>
      <c r="M134" s="137"/>
    </row>
    <row r="135" spans="1:13" ht="34.15" customHeight="1" x14ac:dyDescent="0.3">
      <c r="B135" s="14" t="s">
        <v>9</v>
      </c>
      <c r="C135" s="14" t="s">
        <v>10</v>
      </c>
      <c r="D135" s="101" t="s">
        <v>291</v>
      </c>
      <c r="E135" s="15" t="s">
        <v>11</v>
      </c>
      <c r="F135" s="109" t="s">
        <v>326</v>
      </c>
      <c r="G135" s="4"/>
      <c r="H135" s="13"/>
      <c r="K135" s="160" t="s">
        <v>8</v>
      </c>
      <c r="L135" s="161"/>
      <c r="M135" s="39"/>
    </row>
    <row r="136" spans="1:13" ht="56.25" customHeight="1" x14ac:dyDescent="0.3">
      <c r="B136" s="14" t="s">
        <v>20</v>
      </c>
      <c r="C136" s="9"/>
      <c r="D136" s="113" t="s">
        <v>311</v>
      </c>
      <c r="E136" s="33" t="s">
        <v>12</v>
      </c>
      <c r="F136" s="14" t="s">
        <v>330</v>
      </c>
      <c r="G136" s="9"/>
      <c r="H136" s="10"/>
      <c r="K136" s="139" t="s">
        <v>334</v>
      </c>
      <c r="L136" s="140"/>
      <c r="M136" s="141"/>
    </row>
    <row r="137" spans="1:13" ht="16.5" customHeight="1" x14ac:dyDescent="0.3">
      <c r="B137" s="4">
        <f t="array" ref="B137:H137">Days+29+DATE(Calendar7Year,Calendar7MonthOption,1)-WEEKDAY(DATE(Calendar7Year,Calendar7MonthOption,1),WeekdayOption)</f>
        <v>46230</v>
      </c>
      <c r="C137" s="4">
        <v>46231</v>
      </c>
      <c r="D137" s="4">
        <v>46232</v>
      </c>
      <c r="E137" s="4">
        <v>46233</v>
      </c>
      <c r="F137" s="4">
        <v>46234</v>
      </c>
      <c r="G137" s="4">
        <v>46235</v>
      </c>
      <c r="H137" s="5">
        <v>46236</v>
      </c>
      <c r="K137" s="110" t="s">
        <v>312</v>
      </c>
      <c r="L137" s="111"/>
      <c r="M137" s="112"/>
    </row>
    <row r="138" spans="1:13" ht="36" x14ac:dyDescent="0.3">
      <c r="B138" s="101" t="s">
        <v>291</v>
      </c>
      <c r="C138" s="33" t="s">
        <v>13</v>
      </c>
      <c r="D138" s="101" t="s">
        <v>291</v>
      </c>
      <c r="E138" s="4"/>
      <c r="F138" s="4"/>
      <c r="G138" s="4"/>
      <c r="H138" s="13"/>
    </row>
    <row r="139" spans="1:13" ht="21" x14ac:dyDescent="0.3">
      <c r="B139" s="4"/>
      <c r="D139" s="4"/>
      <c r="E139" s="4"/>
      <c r="F139" s="4"/>
      <c r="G139" s="4"/>
      <c r="H139" s="13"/>
    </row>
    <row r="140" spans="1:13" x14ac:dyDescent="0.3">
      <c r="B140" s="9"/>
      <c r="D140" s="9"/>
      <c r="E140" s="9"/>
      <c r="F140" s="9"/>
      <c r="G140" s="9"/>
      <c r="H140" s="11"/>
    </row>
    <row r="141" spans="1:13" ht="7.9" customHeight="1" x14ac:dyDescent="0.3">
      <c r="B141" s="9"/>
      <c r="C141" s="9"/>
      <c r="D141" s="156"/>
      <c r="E141" s="156"/>
      <c r="F141" s="156"/>
      <c r="G141" s="156"/>
      <c r="H141" s="156"/>
    </row>
    <row r="142" spans="1:13" ht="54" customHeight="1" x14ac:dyDescent="0.7">
      <c r="A142" s="2"/>
      <c r="B142" s="1">
        <f>YEAR(DATE(Calendar7Year,Calendar7MonthOption+1,1))</f>
        <v>2026</v>
      </c>
      <c r="C142" s="155" t="str">
        <f>TEXT(DATE(Calendar7Year,Calendar7MonthOption+1,1),"mmmm")</f>
        <v>August</v>
      </c>
      <c r="D142" s="155"/>
      <c r="E142" s="155"/>
      <c r="F142" s="8"/>
      <c r="G142" s="8"/>
      <c r="H142" s="2"/>
    </row>
    <row r="143" spans="1:13" ht="14.25" customHeight="1" x14ac:dyDescent="0.3">
      <c r="A143" s="3"/>
      <c r="B143" s="6" t="str">
        <f>UPPER(TEXT(B144,"dddd"))</f>
        <v>MONDAY</v>
      </c>
      <c r="C143" s="7" t="str">
        <f t="shared" ref="C143" si="27">UPPER(TEXT(C144,"dddd"))</f>
        <v>TUESDAY</v>
      </c>
      <c r="D143" s="6" t="str">
        <f t="shared" ref="D143" si="28">UPPER(TEXT(D144,"dddd"))</f>
        <v>WEDNESDAY</v>
      </c>
      <c r="E143" s="7" t="str">
        <f t="shared" ref="E143" si="29">UPPER(TEXT(E144,"dddd"))</f>
        <v>THURSDAY</v>
      </c>
      <c r="F143" s="6" t="str">
        <f t="shared" ref="F143" si="30">UPPER(TEXT(F144,"dddd"))</f>
        <v>FRIDAY</v>
      </c>
      <c r="G143" s="7" t="str">
        <f t="shared" ref="G143" si="31">UPPER(TEXT(G144,"dddd"))</f>
        <v>SATURDAY</v>
      </c>
      <c r="H143" s="6" t="str">
        <f t="shared" ref="H143" si="32">UPPER(TEXT(H144,"dddd"))</f>
        <v>SUNDAY</v>
      </c>
    </row>
    <row r="144" spans="1:13" ht="16.5" customHeight="1" x14ac:dyDescent="0.3">
      <c r="B144" s="4">
        <f t="array" ref="B144:H144">Days+1+DATE(Calendar8Year,Calendar8MonthOption,1)-WEEKDAY(DATE(Calendar8Year,Calendar8MonthOption,1),WeekdayOption)</f>
        <v>46230</v>
      </c>
      <c r="C144" s="4">
        <v>46231</v>
      </c>
      <c r="D144" s="4">
        <v>46232</v>
      </c>
      <c r="E144" s="4">
        <v>46233</v>
      </c>
      <c r="F144" s="4">
        <v>46234</v>
      </c>
      <c r="G144" s="4">
        <v>46235</v>
      </c>
      <c r="H144" s="5">
        <v>46236</v>
      </c>
    </row>
    <row r="145" spans="2:13" ht="36" x14ac:dyDescent="0.3">
      <c r="B145" s="4"/>
      <c r="C145" s="4"/>
      <c r="D145" s="4"/>
      <c r="E145" s="15" t="s">
        <v>18</v>
      </c>
      <c r="F145" s="31" t="s">
        <v>24</v>
      </c>
      <c r="G145" s="4"/>
      <c r="H145" s="13"/>
    </row>
    <row r="146" spans="2:13" ht="36" x14ac:dyDescent="0.3">
      <c r="B146" s="9"/>
      <c r="C146" s="9"/>
      <c r="D146" s="9"/>
      <c r="E146" s="37" t="s">
        <v>16</v>
      </c>
      <c r="F146" s="31" t="s">
        <v>292</v>
      </c>
      <c r="G146" s="9"/>
      <c r="H146" s="10"/>
    </row>
    <row r="147" spans="2:13" ht="16.5" customHeight="1" x14ac:dyDescent="0.3">
      <c r="B147" s="4">
        <f t="array" ref="B147:H147">Days+8+DATE(Calendar8Year,Calendar8MonthOption,1)-WEEKDAY(DATE(Calendar8Year,Calendar8MonthOption,1),WeekdayOption)</f>
        <v>46237</v>
      </c>
      <c r="C147" s="4">
        <v>46238</v>
      </c>
      <c r="D147" s="4">
        <v>46239</v>
      </c>
      <c r="E147" s="4">
        <v>46240</v>
      </c>
      <c r="F147" s="4">
        <v>46241</v>
      </c>
      <c r="G147" s="4">
        <v>46242</v>
      </c>
      <c r="H147" s="5">
        <v>46243</v>
      </c>
    </row>
    <row r="148" spans="2:13" ht="36" x14ac:dyDescent="0.3">
      <c r="B148" s="14" t="s">
        <v>9</v>
      </c>
      <c r="C148" s="14" t="s">
        <v>10</v>
      </c>
      <c r="D148" s="15" t="s">
        <v>18</v>
      </c>
      <c r="E148" s="14" t="s">
        <v>330</v>
      </c>
      <c r="G148" s="9"/>
      <c r="H148" s="147" t="s">
        <v>308</v>
      </c>
      <c r="K148" s="162" t="s">
        <v>3</v>
      </c>
      <c r="L148" s="163"/>
      <c r="M148" s="164"/>
    </row>
    <row r="149" spans="2:13" ht="36" x14ac:dyDescent="0.3">
      <c r="B149" s="14" t="s">
        <v>20</v>
      </c>
      <c r="C149" s="151" t="s">
        <v>336</v>
      </c>
      <c r="D149" s="15" t="s">
        <v>290</v>
      </c>
      <c r="E149" s="101"/>
      <c r="F149" s="4"/>
      <c r="G149" s="9"/>
      <c r="H149" s="10"/>
      <c r="K149" s="165"/>
      <c r="L149" s="166"/>
      <c r="M149" s="167"/>
    </row>
    <row r="150" spans="2:13" ht="16.5" customHeight="1" x14ac:dyDescent="0.3">
      <c r="B150" s="4">
        <f t="array" ref="B150:H150">Days+15+DATE(Calendar8Year,Calendar8MonthOption,1)-WEEKDAY(DATE(Calendar8Year,Calendar8MonthOption,1),WeekdayOption)</f>
        <v>46244</v>
      </c>
      <c r="C150" s="4">
        <v>46245</v>
      </c>
      <c r="D150" s="4">
        <v>46246</v>
      </c>
      <c r="E150" s="4">
        <v>46247</v>
      </c>
      <c r="F150" s="4">
        <v>46248</v>
      </c>
      <c r="G150" s="4">
        <v>46249</v>
      </c>
      <c r="H150" s="5">
        <v>46250</v>
      </c>
      <c r="K150" s="103" t="s">
        <v>4</v>
      </c>
      <c r="L150" s="104"/>
      <c r="M150" s="28"/>
    </row>
    <row r="151" spans="2:13" ht="36" x14ac:dyDescent="0.3">
      <c r="B151" s="147" t="s">
        <v>308</v>
      </c>
      <c r="C151" s="14" t="s">
        <v>10</v>
      </c>
      <c r="D151" s="31" t="s">
        <v>331</v>
      </c>
      <c r="E151" s="101" t="s">
        <v>291</v>
      </c>
      <c r="F151" s="14" t="s">
        <v>330</v>
      </c>
      <c r="G151" s="4"/>
      <c r="H151" s="13"/>
      <c r="K151" s="105" t="s">
        <v>5</v>
      </c>
      <c r="L151" s="106"/>
      <c r="M151" s="29"/>
    </row>
    <row r="152" spans="2:13" ht="36" x14ac:dyDescent="0.3">
      <c r="B152" s="9"/>
      <c r="C152" s="93" t="s">
        <v>296</v>
      </c>
      <c r="D152" s="9"/>
      <c r="E152" s="113" t="s">
        <v>311</v>
      </c>
      <c r="F152" s="101"/>
      <c r="G152" s="9"/>
      <c r="H152" s="10"/>
      <c r="K152" s="107" t="s">
        <v>6</v>
      </c>
      <c r="L152" s="108"/>
      <c r="M152" s="30"/>
    </row>
    <row r="153" spans="2:13" ht="16.5" customHeight="1" x14ac:dyDescent="0.3">
      <c r="B153" s="4">
        <f t="array" ref="B153:H153">Days+22+DATE(Calendar8Year,Calendar8MonthOption,1)-WEEKDAY(DATE(Calendar8Year,Calendar8MonthOption,1),WeekdayOption)</f>
        <v>46251</v>
      </c>
      <c r="C153" s="4">
        <v>46252</v>
      </c>
      <c r="D153" s="4">
        <v>46253</v>
      </c>
      <c r="E153" s="4">
        <v>46254</v>
      </c>
      <c r="F153" s="4">
        <v>46255</v>
      </c>
      <c r="G153" s="4">
        <v>46256</v>
      </c>
      <c r="H153" s="5">
        <v>46257</v>
      </c>
      <c r="K153" s="135" t="s">
        <v>7</v>
      </c>
      <c r="L153" s="136"/>
      <c r="M153" s="137"/>
    </row>
    <row r="154" spans="2:13" ht="36" x14ac:dyDescent="0.3">
      <c r="B154" s="31" t="s">
        <v>23</v>
      </c>
      <c r="C154" s="14" t="s">
        <v>10</v>
      </c>
      <c r="D154" s="15" t="s">
        <v>19</v>
      </c>
      <c r="E154" s="96" t="s">
        <v>293</v>
      </c>
      <c r="F154" s="109" t="s">
        <v>326</v>
      </c>
      <c r="G154" s="4"/>
      <c r="H154" s="13"/>
      <c r="K154" s="160" t="s">
        <v>8</v>
      </c>
      <c r="L154" s="161"/>
      <c r="M154" s="39"/>
    </row>
    <row r="155" spans="2:13" ht="56.25" customHeight="1" x14ac:dyDescent="0.3">
      <c r="B155" s="14" t="s">
        <v>20</v>
      </c>
      <c r="C155" s="31" t="s">
        <v>22</v>
      </c>
      <c r="D155" s="15" t="s">
        <v>17</v>
      </c>
      <c r="E155" s="9"/>
      <c r="F155" s="14" t="s">
        <v>330</v>
      </c>
      <c r="G155" s="9"/>
      <c r="H155" s="10"/>
      <c r="K155" s="139" t="s">
        <v>334</v>
      </c>
      <c r="L155" s="140"/>
      <c r="M155" s="141"/>
    </row>
    <row r="156" spans="2:13" ht="16.5" customHeight="1" x14ac:dyDescent="0.3">
      <c r="B156" s="4">
        <f t="array" ref="B156:H156">Days+29+DATE(Calendar8Year,Calendar8MonthOption,1)-WEEKDAY(DATE(Calendar8Year,Calendar8MonthOption,1),WeekdayOption)</f>
        <v>46258</v>
      </c>
      <c r="C156" s="4">
        <v>46259</v>
      </c>
      <c r="D156" s="4">
        <v>46260</v>
      </c>
      <c r="E156" s="4">
        <v>46261</v>
      </c>
      <c r="F156" s="4">
        <v>46262</v>
      </c>
      <c r="G156" s="4">
        <v>46263</v>
      </c>
      <c r="H156" s="5">
        <v>46264</v>
      </c>
      <c r="K156" s="110" t="s">
        <v>312</v>
      </c>
      <c r="L156" s="111"/>
      <c r="M156" s="112"/>
    </row>
    <row r="157" spans="2:13" ht="36" x14ac:dyDescent="0.3">
      <c r="B157" s="14" t="s">
        <v>9</v>
      </c>
      <c r="C157" s="14" t="s">
        <v>10</v>
      </c>
      <c r="D157" s="37" t="s">
        <v>31</v>
      </c>
      <c r="E157" s="101" t="s">
        <v>291</v>
      </c>
      <c r="F157" s="101" t="s">
        <v>291</v>
      </c>
      <c r="G157" s="4"/>
      <c r="H157" s="13"/>
    </row>
    <row r="158" spans="2:13" ht="36" x14ac:dyDescent="0.3">
      <c r="B158" s="14" t="s">
        <v>20</v>
      </c>
      <c r="C158" s="33" t="s">
        <v>13</v>
      </c>
      <c r="D158" s="38" t="s">
        <v>32</v>
      </c>
      <c r="E158" s="113" t="s">
        <v>311</v>
      </c>
      <c r="F158" s="4"/>
      <c r="G158" s="4"/>
      <c r="H158" s="13"/>
    </row>
    <row r="159" spans="2:13" x14ac:dyDescent="0.3">
      <c r="B159" s="9"/>
      <c r="C159" s="9"/>
      <c r="E159" s="9"/>
      <c r="F159" s="9"/>
      <c r="G159" s="9"/>
      <c r="H159" s="11"/>
    </row>
    <row r="160" spans="2:13" ht="29.45" customHeight="1" x14ac:dyDescent="0.3">
      <c r="B160" s="9"/>
      <c r="C160" s="9"/>
      <c r="D160" s="156"/>
      <c r="E160" s="156"/>
      <c r="F160" s="156"/>
      <c r="G160" s="156"/>
      <c r="H160" s="156"/>
    </row>
    <row r="161" spans="1:13" ht="54" customHeight="1" x14ac:dyDescent="0.7">
      <c r="A161" s="2"/>
      <c r="B161" s="1">
        <f>YEAR(DATE(Calendar8Year,Calendar8MonthOption+1,1))</f>
        <v>2026</v>
      </c>
      <c r="C161" s="155" t="str">
        <f>TEXT(DATE(Calendar8Year,Calendar8MonthOption+1,1),"mmmm")</f>
        <v>September</v>
      </c>
      <c r="D161" s="155"/>
      <c r="E161" s="155"/>
      <c r="F161" s="8"/>
      <c r="G161" s="8"/>
      <c r="H161" s="2"/>
    </row>
    <row r="162" spans="1:13" ht="14.25" customHeight="1" x14ac:dyDescent="0.3">
      <c r="A162" s="3"/>
      <c r="B162" s="6" t="str">
        <f>UPPER(TEXT(B163,"dddd"))</f>
        <v>MONDAY</v>
      </c>
      <c r="C162" s="7" t="str">
        <f t="shared" ref="C162" si="33">UPPER(TEXT(C163,"dddd"))</f>
        <v>TUESDAY</v>
      </c>
      <c r="D162" s="6" t="str">
        <f t="shared" ref="D162" si="34">UPPER(TEXT(D163,"dddd"))</f>
        <v>WEDNESDAY</v>
      </c>
      <c r="E162" s="7" t="str">
        <f t="shared" ref="E162" si="35">UPPER(TEXT(E163,"dddd"))</f>
        <v>THURSDAY</v>
      </c>
      <c r="F162" s="6" t="str">
        <f t="shared" ref="F162" si="36">UPPER(TEXT(F163,"dddd"))</f>
        <v>FRIDAY</v>
      </c>
      <c r="G162" s="7" t="str">
        <f t="shared" ref="G162" si="37">UPPER(TEXT(G163,"dddd"))</f>
        <v>SATURDAY</v>
      </c>
      <c r="H162" s="6" t="str">
        <f t="shared" ref="H162" si="38">UPPER(TEXT(H163,"dddd"))</f>
        <v>SUNDAY</v>
      </c>
    </row>
    <row r="163" spans="1:13" ht="16.5" customHeight="1" x14ac:dyDescent="0.3">
      <c r="B163" s="4">
        <f t="array" ref="B163:H163">Days+1+DATE(Calendar9Year,Calendar9MonthOption,1)-WEEKDAY(DATE(Calendar9Year,Calendar9MonthOption,1),WeekdayOption)</f>
        <v>46265</v>
      </c>
      <c r="C163" s="4">
        <v>46266</v>
      </c>
      <c r="D163" s="4">
        <v>46267</v>
      </c>
      <c r="E163" s="4">
        <v>46268</v>
      </c>
      <c r="F163" s="4">
        <v>46269</v>
      </c>
      <c r="G163" s="4">
        <v>46270</v>
      </c>
      <c r="H163" s="5">
        <v>46271</v>
      </c>
    </row>
    <row r="164" spans="1:13" ht="42.6" customHeight="1" x14ac:dyDescent="0.3">
      <c r="B164" s="14" t="s">
        <v>9</v>
      </c>
      <c r="C164" s="14" t="s">
        <v>10</v>
      </c>
      <c r="D164" s="93" t="s">
        <v>299</v>
      </c>
      <c r="E164" s="101" t="s">
        <v>291</v>
      </c>
      <c r="F164" s="14" t="s">
        <v>330</v>
      </c>
      <c r="G164" s="4"/>
      <c r="H164" s="13"/>
    </row>
    <row r="165" spans="1:13" ht="56.25" customHeight="1" x14ac:dyDescent="0.3">
      <c r="B165" s="14" t="s">
        <v>20</v>
      </c>
      <c r="C165" s="9"/>
      <c r="D165" s="9"/>
      <c r="E165" s="9"/>
      <c r="G165" s="9"/>
      <c r="H165" s="10"/>
    </row>
    <row r="166" spans="1:13" ht="16.5" customHeight="1" x14ac:dyDescent="0.3">
      <c r="B166" s="4">
        <f t="array" ref="B166:H166">Days+8+DATE(Calendar9Year,Calendar9MonthOption,1)-WEEKDAY(DATE(Calendar9Year,Calendar9MonthOption,1),WeekdayOption)</f>
        <v>46272</v>
      </c>
      <c r="C166" s="4">
        <v>46273</v>
      </c>
      <c r="D166" s="4">
        <v>46274</v>
      </c>
      <c r="E166" s="4">
        <v>46275</v>
      </c>
      <c r="F166" s="4">
        <v>46276</v>
      </c>
      <c r="G166" s="4">
        <v>46277</v>
      </c>
      <c r="H166" s="5">
        <v>46278</v>
      </c>
    </row>
    <row r="167" spans="1:13" ht="36" customHeight="1" x14ac:dyDescent="0.3">
      <c r="B167" s="14" t="s">
        <v>9</v>
      </c>
      <c r="C167" s="14" t="s">
        <v>10</v>
      </c>
      <c r="D167" s="96" t="s">
        <v>279</v>
      </c>
      <c r="E167" s="93" t="s">
        <v>298</v>
      </c>
      <c r="F167" s="14" t="s">
        <v>330</v>
      </c>
      <c r="G167" s="4"/>
      <c r="H167" s="13"/>
    </row>
    <row r="168" spans="1:13" ht="36" x14ac:dyDescent="0.3">
      <c r="B168" s="14" t="s">
        <v>20</v>
      </c>
      <c r="C168" s="93" t="s">
        <v>294</v>
      </c>
      <c r="E168" s="113" t="s">
        <v>311</v>
      </c>
      <c r="F168" s="101"/>
      <c r="G168" s="9"/>
      <c r="H168" s="10"/>
      <c r="K168" s="162" t="s">
        <v>3</v>
      </c>
      <c r="L168" s="163"/>
      <c r="M168" s="164"/>
    </row>
    <row r="169" spans="1:13" ht="16.5" customHeight="1" x14ac:dyDescent="0.3">
      <c r="B169" s="4">
        <f t="array" ref="B169:H169">Days+15+DATE(Calendar9Year,Calendar9MonthOption,1)-WEEKDAY(DATE(Calendar9Year,Calendar9MonthOption,1),WeekdayOption)</f>
        <v>46279</v>
      </c>
      <c r="C169" s="4">
        <v>46280</v>
      </c>
      <c r="D169" s="4">
        <v>46281</v>
      </c>
      <c r="E169" s="4">
        <v>46282</v>
      </c>
      <c r="F169" s="4">
        <v>46283</v>
      </c>
      <c r="G169" s="4">
        <v>46284</v>
      </c>
      <c r="H169" s="5">
        <v>46285</v>
      </c>
      <c r="K169" s="165"/>
      <c r="L169" s="166"/>
      <c r="M169" s="167"/>
    </row>
    <row r="170" spans="1:13" ht="36" x14ac:dyDescent="0.3">
      <c r="B170" s="14" t="s">
        <v>9</v>
      </c>
      <c r="C170" s="14" t="s">
        <v>10</v>
      </c>
      <c r="D170" s="101" t="s">
        <v>291</v>
      </c>
      <c r="E170" s="101" t="s">
        <v>291</v>
      </c>
      <c r="F170" s="93" t="s">
        <v>295</v>
      </c>
      <c r="G170" s="4"/>
      <c r="H170" s="13"/>
      <c r="K170" s="103" t="s">
        <v>4</v>
      </c>
      <c r="L170" s="104"/>
      <c r="M170" s="28"/>
    </row>
    <row r="171" spans="1:13" ht="24" x14ac:dyDescent="0.3">
      <c r="B171" s="14" t="s">
        <v>20</v>
      </c>
      <c r="C171" s="9"/>
      <c r="D171" s="9"/>
      <c r="E171" s="9"/>
      <c r="F171" s="14" t="s">
        <v>330</v>
      </c>
      <c r="G171" s="9"/>
      <c r="H171" s="10"/>
      <c r="K171" s="105" t="s">
        <v>5</v>
      </c>
      <c r="L171" s="106"/>
      <c r="M171" s="29"/>
    </row>
    <row r="172" spans="1:13" ht="16.5" customHeight="1" x14ac:dyDescent="0.3">
      <c r="B172" s="4">
        <f t="array" ref="B172:H172">Days+22+DATE(Calendar9Year,Calendar9MonthOption,1)-WEEKDAY(DATE(Calendar9Year,Calendar9MonthOption,1),WeekdayOption)</f>
        <v>46286</v>
      </c>
      <c r="C172" s="4">
        <v>46287</v>
      </c>
      <c r="D172" s="4">
        <v>46288</v>
      </c>
      <c r="E172" s="4">
        <v>46289</v>
      </c>
      <c r="F172" s="4">
        <v>46290</v>
      </c>
      <c r="G172" s="4">
        <v>46291</v>
      </c>
      <c r="H172" s="5">
        <v>46292</v>
      </c>
      <c r="K172" s="107" t="s">
        <v>6</v>
      </c>
      <c r="L172" s="108"/>
      <c r="M172" s="30"/>
    </row>
    <row r="173" spans="1:13" ht="36" x14ac:dyDescent="0.3">
      <c r="B173" s="14" t="s">
        <v>9</v>
      </c>
      <c r="C173" s="14" t="s">
        <v>10</v>
      </c>
      <c r="D173" s="113" t="s">
        <v>311</v>
      </c>
      <c r="E173" s="147" t="s">
        <v>308</v>
      </c>
      <c r="F173" s="14" t="s">
        <v>330</v>
      </c>
      <c r="G173" s="4"/>
      <c r="H173" s="13"/>
      <c r="K173" s="135" t="s">
        <v>7</v>
      </c>
      <c r="L173" s="136"/>
      <c r="M173" s="137"/>
    </row>
    <row r="174" spans="1:13" ht="24" x14ac:dyDescent="0.3">
      <c r="B174" s="14" t="s">
        <v>20</v>
      </c>
      <c r="C174" s="9"/>
      <c r="D174" s="9"/>
      <c r="E174" s="9"/>
      <c r="G174" s="9"/>
      <c r="H174" s="10"/>
      <c r="K174" s="174" t="s">
        <v>8</v>
      </c>
      <c r="L174" s="175"/>
      <c r="M174" s="138"/>
    </row>
    <row r="175" spans="1:13" ht="16.5" customHeight="1" x14ac:dyDescent="0.3">
      <c r="B175" s="115">
        <f t="array" ref="B175:H175">Days+29+DATE(Calendar9Year,Calendar9MonthOption,1)-WEEKDAY(DATE(Calendar9Year,Calendar9MonthOption,1),WeekdayOption)</f>
        <v>46293</v>
      </c>
      <c r="C175" s="115">
        <v>46294</v>
      </c>
      <c r="D175" s="115">
        <v>46295</v>
      </c>
      <c r="E175" s="115">
        <v>46296</v>
      </c>
      <c r="F175" s="115">
        <v>46297</v>
      </c>
      <c r="G175" s="115">
        <v>46298</v>
      </c>
      <c r="H175" s="120">
        <v>46299</v>
      </c>
      <c r="K175" s="139" t="s">
        <v>334</v>
      </c>
      <c r="L175" s="140"/>
      <c r="M175" s="141"/>
    </row>
    <row r="176" spans="1:13" ht="21" x14ac:dyDescent="0.3">
      <c r="C176" s="101"/>
      <c r="E176" s="101"/>
      <c r="F176" s="126"/>
      <c r="G176" s="126"/>
      <c r="H176" s="13"/>
      <c r="K176" s="110" t="s">
        <v>312</v>
      </c>
      <c r="L176" s="111"/>
      <c r="M176" s="112"/>
    </row>
    <row r="177" spans="1:13" ht="12.6" customHeight="1" x14ac:dyDescent="0.3">
      <c r="C177" s="9"/>
      <c r="E177" s="124"/>
      <c r="F177" s="123"/>
      <c r="G177" s="124"/>
      <c r="H177" s="124"/>
    </row>
    <row r="178" spans="1:13" hidden="1" x14ac:dyDescent="0.3">
      <c r="C178" s="9"/>
      <c r="E178" s="125"/>
      <c r="F178" s="123"/>
      <c r="G178" s="125"/>
      <c r="H178" s="125"/>
    </row>
    <row r="179" spans="1:13" ht="31.15" hidden="1" customHeight="1" x14ac:dyDescent="0.3">
      <c r="B179" s="9"/>
      <c r="C179" s="9"/>
      <c r="D179" s="156"/>
      <c r="E179" s="156"/>
      <c r="F179" s="156"/>
      <c r="G179" s="156"/>
      <c r="H179" s="156"/>
    </row>
    <row r="180" spans="1:13" ht="54" customHeight="1" x14ac:dyDescent="0.7">
      <c r="A180" s="2"/>
      <c r="B180" s="1">
        <f>YEAR(DATE(Calendar9Year,Calendar9MonthOption+1,1))</f>
        <v>2026</v>
      </c>
      <c r="C180" s="155" t="str">
        <f>TEXT(DATE(Calendar9Year,Calendar9MonthOption+1,1),"mmmm")</f>
        <v>October</v>
      </c>
      <c r="D180" s="155"/>
      <c r="E180" s="155"/>
      <c r="F180" s="8"/>
      <c r="G180" s="8"/>
      <c r="H180" s="2"/>
    </row>
    <row r="181" spans="1:13" ht="14.25" customHeight="1" x14ac:dyDescent="0.3">
      <c r="A181" s="3"/>
      <c r="B181" s="6" t="str">
        <f>UPPER(TEXT(B182,"dddd"))</f>
        <v>MONDAY</v>
      </c>
      <c r="C181" s="7" t="str">
        <f t="shared" ref="C181:H181" si="39">UPPER(TEXT(C182,"dddd"))</f>
        <v>TUESDAY</v>
      </c>
      <c r="D181" s="6" t="str">
        <f t="shared" si="39"/>
        <v>WEDNESDAY</v>
      </c>
      <c r="E181" s="7" t="str">
        <f t="shared" si="39"/>
        <v>THURSDAY</v>
      </c>
      <c r="F181" s="6" t="str">
        <f t="shared" si="39"/>
        <v>FRIDAY</v>
      </c>
      <c r="G181" s="7" t="str">
        <f t="shared" si="39"/>
        <v>SATURDAY</v>
      </c>
      <c r="H181" s="6" t="str">
        <f t="shared" si="39"/>
        <v>SUNDAY</v>
      </c>
    </row>
    <row r="182" spans="1:13" ht="16.5" customHeight="1" x14ac:dyDescent="0.3">
      <c r="B182" s="4">
        <f t="array" ref="B182:H182">Days+1+DATE(Calendar10Year,Calendar10MonthOption,1)-WEEKDAY(DATE(Calendar10Year,Calendar10MonthOption,1),WeekdayOption)</f>
        <v>46293</v>
      </c>
      <c r="C182" s="4">
        <v>46294</v>
      </c>
      <c r="D182" s="4">
        <v>46295</v>
      </c>
      <c r="E182" s="4">
        <v>46296</v>
      </c>
      <c r="F182" s="4">
        <v>46297</v>
      </c>
      <c r="G182" s="4">
        <v>46298</v>
      </c>
      <c r="H182" s="5">
        <v>46299</v>
      </c>
    </row>
    <row r="183" spans="1:13" ht="36" x14ac:dyDescent="0.3">
      <c r="B183" s="14" t="s">
        <v>10</v>
      </c>
      <c r="C183" s="14" t="s">
        <v>10</v>
      </c>
      <c r="D183" s="99" t="s">
        <v>304</v>
      </c>
      <c r="E183" s="99" t="s">
        <v>297</v>
      </c>
      <c r="F183" s="14" t="s">
        <v>330</v>
      </c>
      <c r="G183" s="4"/>
      <c r="H183" s="13"/>
    </row>
    <row r="184" spans="1:13" ht="56.25" customHeight="1" x14ac:dyDescent="0.3">
      <c r="B184" s="14" t="s">
        <v>9</v>
      </c>
      <c r="C184" s="15" t="s">
        <v>18</v>
      </c>
      <c r="D184" s="99" t="s">
        <v>303</v>
      </c>
      <c r="E184" s="129"/>
      <c r="F184" s="123"/>
      <c r="G184" s="9"/>
      <c r="H184" s="10"/>
    </row>
    <row r="185" spans="1:13" ht="43.15" customHeight="1" x14ac:dyDescent="0.3">
      <c r="B185" s="14" t="s">
        <v>20</v>
      </c>
      <c r="C185" s="127"/>
      <c r="D185" s="128"/>
      <c r="F185" s="123"/>
      <c r="G185" s="9"/>
      <c r="H185" s="10"/>
    </row>
    <row r="186" spans="1:13" ht="16.5" customHeight="1" x14ac:dyDescent="0.3">
      <c r="B186" s="4">
        <f t="array" ref="B186:H186">Days+8+DATE(Calendar10Year,Calendar10MonthOption,1)-WEEKDAY(DATE(Calendar10Year,Calendar10MonthOption,1),WeekdayOption)</f>
        <v>46300</v>
      </c>
      <c r="C186" s="4">
        <v>46301</v>
      </c>
      <c r="D186" s="4">
        <v>46302</v>
      </c>
      <c r="E186" s="4">
        <v>46303</v>
      </c>
      <c r="F186" s="4">
        <v>46304</v>
      </c>
      <c r="G186" s="4">
        <v>46305</v>
      </c>
      <c r="H186" s="5">
        <v>46306</v>
      </c>
    </row>
    <row r="187" spans="1:13" ht="36" x14ac:dyDescent="0.3">
      <c r="B187" s="14" t="s">
        <v>9</v>
      </c>
      <c r="C187" s="14" t="s">
        <v>10</v>
      </c>
      <c r="D187" s="96" t="s">
        <v>300</v>
      </c>
      <c r="E187" s="96" t="s">
        <v>279</v>
      </c>
      <c r="F187" s="14" t="s">
        <v>14</v>
      </c>
      <c r="G187" s="4"/>
      <c r="H187" s="13"/>
      <c r="K187" s="162" t="s">
        <v>3</v>
      </c>
      <c r="L187" s="163"/>
      <c r="M187" s="164"/>
    </row>
    <row r="188" spans="1:13" ht="56.25" customHeight="1" x14ac:dyDescent="0.3">
      <c r="B188" s="14" t="s">
        <v>20</v>
      </c>
      <c r="C188" s="100" t="s">
        <v>302</v>
      </c>
      <c r="D188" s="96" t="s">
        <v>281</v>
      </c>
      <c r="E188" s="96" t="s">
        <v>301</v>
      </c>
      <c r="F188" s="113" t="s">
        <v>311</v>
      </c>
      <c r="G188" s="9"/>
      <c r="H188" s="10"/>
      <c r="K188" s="165"/>
      <c r="L188" s="166"/>
      <c r="M188" s="167"/>
    </row>
    <row r="189" spans="1:13" ht="16.5" customHeight="1" x14ac:dyDescent="0.3">
      <c r="B189" s="4">
        <f t="array" ref="B189:H189">Days+15+DATE(Calendar10Year,Calendar10MonthOption,1)-WEEKDAY(DATE(Calendar10Year,Calendar10MonthOption,1),WeekdayOption)</f>
        <v>46307</v>
      </c>
      <c r="C189" s="4">
        <v>46308</v>
      </c>
      <c r="D189" s="4">
        <v>46309</v>
      </c>
      <c r="E189" s="4">
        <v>46310</v>
      </c>
      <c r="F189" s="4">
        <v>46311</v>
      </c>
      <c r="G189" s="4">
        <v>46312</v>
      </c>
      <c r="H189" s="5">
        <v>46313</v>
      </c>
      <c r="K189" s="103" t="s">
        <v>4</v>
      </c>
      <c r="L189" s="104"/>
      <c r="M189" s="28"/>
    </row>
    <row r="190" spans="1:13" ht="37.9" customHeight="1" x14ac:dyDescent="0.3">
      <c r="B190" s="14" t="s">
        <v>9</v>
      </c>
      <c r="C190" s="14" t="s">
        <v>10</v>
      </c>
      <c r="D190" s="101" t="s">
        <v>291</v>
      </c>
      <c r="E190" s="101" t="s">
        <v>291</v>
      </c>
      <c r="F190" s="14" t="s">
        <v>14</v>
      </c>
      <c r="G190" s="4"/>
      <c r="H190" s="13"/>
      <c r="K190" s="105" t="s">
        <v>5</v>
      </c>
      <c r="L190" s="106"/>
      <c r="M190" s="29"/>
    </row>
    <row r="191" spans="1:13" ht="56.25" customHeight="1" x14ac:dyDescent="0.3">
      <c r="B191" s="14" t="s">
        <v>20</v>
      </c>
      <c r="C191" s="9"/>
      <c r="E191" s="9"/>
      <c r="F191" s="101"/>
      <c r="G191" s="9"/>
      <c r="H191" s="10"/>
      <c r="K191" s="107" t="s">
        <v>6</v>
      </c>
      <c r="L191" s="108"/>
      <c r="M191" s="30"/>
    </row>
    <row r="192" spans="1:13" ht="16.5" customHeight="1" x14ac:dyDescent="0.3">
      <c r="B192" s="4">
        <f t="array" ref="B192:H192">Days+22+DATE(Calendar10Year,Calendar10MonthOption,1)-WEEKDAY(DATE(Calendar10Year,Calendar10MonthOption,1),WeekdayOption)</f>
        <v>46314</v>
      </c>
      <c r="C192" s="4">
        <v>46315</v>
      </c>
      <c r="D192" s="4">
        <v>46316</v>
      </c>
      <c r="E192" s="4">
        <v>46317</v>
      </c>
      <c r="F192" s="4">
        <v>46318</v>
      </c>
      <c r="G192" s="4">
        <v>46319</v>
      </c>
      <c r="H192" s="5">
        <v>46320</v>
      </c>
      <c r="K192" s="135" t="s">
        <v>7</v>
      </c>
      <c r="L192" s="136"/>
      <c r="M192" s="137"/>
    </row>
    <row r="193" spans="2:13" ht="36" x14ac:dyDescent="0.3">
      <c r="B193" s="14" t="s">
        <v>9</v>
      </c>
      <c r="C193" s="14" t="s">
        <v>10</v>
      </c>
      <c r="D193" s="101" t="s">
        <v>291</v>
      </c>
      <c r="E193" s="15" t="s">
        <v>19</v>
      </c>
      <c r="F193" s="14" t="s">
        <v>14</v>
      </c>
      <c r="G193" s="4"/>
      <c r="H193" s="13"/>
      <c r="K193" s="160" t="s">
        <v>8</v>
      </c>
      <c r="L193" s="161"/>
      <c r="M193" s="39"/>
    </row>
    <row r="194" spans="2:13" ht="56.25" customHeight="1" x14ac:dyDescent="0.3">
      <c r="B194" s="14" t="s">
        <v>20</v>
      </c>
      <c r="C194" s="9"/>
      <c r="D194" s="9"/>
      <c r="E194" s="15" t="s">
        <v>17</v>
      </c>
      <c r="F194" s="113" t="s">
        <v>311</v>
      </c>
      <c r="G194" s="9"/>
      <c r="H194" s="10"/>
      <c r="K194" s="139" t="s">
        <v>334</v>
      </c>
      <c r="L194" s="140"/>
      <c r="M194" s="141"/>
    </row>
    <row r="195" spans="2:13" ht="16.5" customHeight="1" x14ac:dyDescent="0.3">
      <c r="B195" s="4">
        <f t="array" ref="B195:H195">Days+29+DATE(Calendar10Year,Calendar10MonthOption,1)-WEEKDAY(DATE(Calendar10Year,Calendar10MonthOption,1),WeekdayOption)</f>
        <v>46321</v>
      </c>
      <c r="C195" s="4">
        <v>46322</v>
      </c>
      <c r="D195" s="4">
        <v>46323</v>
      </c>
      <c r="E195" s="4">
        <v>46324</v>
      </c>
      <c r="F195" s="4">
        <v>46325</v>
      </c>
      <c r="G195" s="4">
        <v>46326</v>
      </c>
      <c r="H195" s="5">
        <v>46327</v>
      </c>
      <c r="K195" s="110" t="s">
        <v>312</v>
      </c>
      <c r="L195" s="111"/>
      <c r="M195" s="112"/>
    </row>
    <row r="196" spans="2:13" ht="36" x14ac:dyDescent="0.3">
      <c r="B196" s="14" t="s">
        <v>9</v>
      </c>
      <c r="C196" s="15" t="s">
        <v>11</v>
      </c>
      <c r="D196" s="101" t="s">
        <v>291</v>
      </c>
      <c r="E196" s="101" t="s">
        <v>291</v>
      </c>
      <c r="F196" s="31" t="s">
        <v>24</v>
      </c>
      <c r="G196" s="4"/>
      <c r="H196" s="13"/>
    </row>
    <row r="197" spans="2:13" ht="36" x14ac:dyDescent="0.3">
      <c r="B197" s="14"/>
      <c r="C197" s="33" t="s">
        <v>12</v>
      </c>
      <c r="D197" s="4"/>
      <c r="E197" s="4"/>
      <c r="F197" s="31" t="s">
        <v>292</v>
      </c>
      <c r="G197" s="4"/>
      <c r="H197" s="13"/>
    </row>
    <row r="198" spans="2:13" ht="36" x14ac:dyDescent="0.3">
      <c r="B198" s="14" t="s">
        <v>20</v>
      </c>
      <c r="C198" s="33" t="s">
        <v>13</v>
      </c>
      <c r="D198" s="9"/>
      <c r="E198" s="9"/>
      <c r="F198" s="9"/>
      <c r="G198" s="9"/>
      <c r="H198" s="11"/>
    </row>
    <row r="199" spans="2:13" ht="16.5" customHeight="1" x14ac:dyDescent="0.3">
      <c r="B199" s="4">
        <f t="array" ref="B199:C199">Days+36+DATE(Calendar10Year,Calendar10MonthOption,1)-WEEKDAY(DATE(Calendar10Year,Calendar10MonthOption,1),WeekdayOption)</f>
        <v>46328</v>
      </c>
      <c r="C199" s="4">
        <v>46329</v>
      </c>
      <c r="D199" s="157" t="s">
        <v>0</v>
      </c>
      <c r="E199" s="158"/>
      <c r="F199" s="158"/>
      <c r="G199" s="158"/>
      <c r="H199" s="158"/>
    </row>
    <row r="200" spans="2:13" ht="63.75" customHeight="1" x14ac:dyDescent="0.3">
      <c r="B200" s="9"/>
      <c r="C200" s="9"/>
      <c r="D200" s="156"/>
      <c r="E200" s="156"/>
      <c r="F200" s="156"/>
      <c r="G200" s="156"/>
      <c r="H200" s="156"/>
    </row>
    <row r="201" spans="2:13" ht="54" customHeight="1" x14ac:dyDescent="0.7">
      <c r="B201" s="1">
        <f>YEAR(DATE(Calendar10Year,Calendar10MonthOption+1,1))</f>
        <v>2026</v>
      </c>
      <c r="C201" s="155" t="str">
        <f>TEXT(DATE(Calendar10Year,Calendar10MonthOption+1,1),"mmmm")</f>
        <v>November</v>
      </c>
      <c r="D201" s="155"/>
      <c r="E201" s="155"/>
      <c r="F201" s="8"/>
      <c r="G201" s="8"/>
      <c r="H201" s="2"/>
    </row>
    <row r="202" spans="2:13" ht="14.25" customHeight="1" x14ac:dyDescent="0.3">
      <c r="B202" s="6" t="str">
        <f>UPPER(TEXT(B203,"dddd"))</f>
        <v>MONDAY</v>
      </c>
      <c r="C202" s="7" t="str">
        <f t="shared" ref="C202:H202" si="40">UPPER(TEXT(C203,"dddd"))</f>
        <v>TUESDAY</v>
      </c>
      <c r="D202" s="6" t="str">
        <f t="shared" si="40"/>
        <v>WEDNESDAY</v>
      </c>
      <c r="E202" s="7" t="str">
        <f t="shared" si="40"/>
        <v>THURSDAY</v>
      </c>
      <c r="F202" s="6" t="str">
        <f t="shared" si="40"/>
        <v>FRIDAY</v>
      </c>
      <c r="G202" s="7" t="str">
        <f t="shared" si="40"/>
        <v>SATURDAY</v>
      </c>
      <c r="H202" s="6" t="str">
        <f t="shared" si="40"/>
        <v>SUNDAY</v>
      </c>
    </row>
    <row r="203" spans="2:13" ht="16.5" customHeight="1" x14ac:dyDescent="0.3">
      <c r="B203" s="4">
        <f t="array" ref="B203:H203">Days+1+DATE(Calendar11Year,Calendar11MonthOption,1)-WEEKDAY(DATE(Calendar11Year,Calendar11MonthOption,1),WeekdayOption)</f>
        <v>46321</v>
      </c>
      <c r="C203" s="4">
        <v>46322</v>
      </c>
      <c r="D203" s="4">
        <v>46323</v>
      </c>
      <c r="E203" s="4">
        <v>46324</v>
      </c>
      <c r="F203" s="4">
        <v>46325</v>
      </c>
      <c r="G203" s="4">
        <v>46326</v>
      </c>
      <c r="H203" s="5">
        <v>46327</v>
      </c>
    </row>
    <row r="204" spans="2:13" ht="4.9000000000000004" customHeight="1" x14ac:dyDescent="0.3">
      <c r="B204" s="4"/>
      <c r="C204" s="4"/>
      <c r="D204" s="4"/>
      <c r="E204" s="4"/>
      <c r="G204" s="4"/>
      <c r="H204" s="13"/>
    </row>
    <row r="205" spans="2:13" ht="55.9" hidden="1" customHeight="1" x14ac:dyDescent="0.3">
      <c r="B205" s="9"/>
      <c r="C205" s="9"/>
      <c r="D205" s="9"/>
      <c r="E205" s="9"/>
      <c r="G205" s="9"/>
      <c r="H205" s="10"/>
    </row>
    <row r="206" spans="2:13" ht="16.5" customHeight="1" x14ac:dyDescent="0.3">
      <c r="B206" s="4">
        <f t="array" ref="B206:H206">Days+8+DATE(Calendar11Year,Calendar11MonthOption,1)-WEEKDAY(DATE(Calendar11Year,Calendar11MonthOption,1),WeekdayOption)</f>
        <v>46328</v>
      </c>
      <c r="C206" s="4">
        <v>46329</v>
      </c>
      <c r="D206" s="4">
        <v>46330</v>
      </c>
      <c r="E206" s="4">
        <v>46331</v>
      </c>
      <c r="F206" s="4">
        <v>46332</v>
      </c>
      <c r="G206" s="4">
        <v>46333</v>
      </c>
      <c r="H206" s="5">
        <v>46334</v>
      </c>
    </row>
    <row r="207" spans="2:13" ht="36" x14ac:dyDescent="0.3">
      <c r="B207" s="14" t="s">
        <v>9</v>
      </c>
      <c r="C207" s="14" t="s">
        <v>10</v>
      </c>
      <c r="D207" s="37" t="s">
        <v>332</v>
      </c>
      <c r="E207" s="95" t="s">
        <v>307</v>
      </c>
      <c r="F207" s="14" t="s">
        <v>14</v>
      </c>
      <c r="G207" s="4"/>
      <c r="H207" s="13"/>
      <c r="J207" s="162" t="s">
        <v>3</v>
      </c>
      <c r="K207" s="163"/>
      <c r="L207" s="164"/>
    </row>
    <row r="208" spans="2:13" ht="36" x14ac:dyDescent="0.3">
      <c r="B208" s="14" t="s">
        <v>20</v>
      </c>
      <c r="C208" s="15" t="s">
        <v>18</v>
      </c>
      <c r="D208" s="95" t="s">
        <v>279</v>
      </c>
      <c r="E208" s="31" t="s">
        <v>22</v>
      </c>
      <c r="F208" s="113" t="s">
        <v>311</v>
      </c>
      <c r="G208" s="4"/>
      <c r="H208" s="13"/>
      <c r="J208" s="165"/>
      <c r="K208" s="166"/>
      <c r="L208" s="167"/>
    </row>
    <row r="209" spans="2:12" ht="24" x14ac:dyDescent="0.3">
      <c r="B209" s="9"/>
      <c r="C209" s="9"/>
      <c r="D209" s="100" t="s">
        <v>306</v>
      </c>
      <c r="E209" s="9"/>
      <c r="F209" s="9"/>
      <c r="G209" s="9"/>
      <c r="H209" s="10"/>
      <c r="J209" s="103" t="s">
        <v>4</v>
      </c>
      <c r="K209" s="104"/>
      <c r="L209" s="28"/>
    </row>
    <row r="210" spans="2:12" ht="16.5" customHeight="1" x14ac:dyDescent="0.3">
      <c r="B210" s="4">
        <f t="array" ref="B210:H210">Days+15+DATE(Calendar11Year,Calendar11MonthOption,1)-WEEKDAY(DATE(Calendar11Year,Calendar11MonthOption,1),WeekdayOption)</f>
        <v>46335</v>
      </c>
      <c r="C210" s="4">
        <v>46336</v>
      </c>
      <c r="D210" s="4">
        <v>46337</v>
      </c>
      <c r="E210" s="4">
        <v>46338</v>
      </c>
      <c r="F210" s="4">
        <v>46339</v>
      </c>
      <c r="G210" s="4">
        <v>46340</v>
      </c>
      <c r="H210" s="5">
        <v>46341</v>
      </c>
      <c r="J210" s="105" t="s">
        <v>5</v>
      </c>
      <c r="K210" s="106"/>
      <c r="L210" s="29"/>
    </row>
    <row r="211" spans="2:12" ht="36" x14ac:dyDescent="0.3">
      <c r="B211" s="31" t="s">
        <v>23</v>
      </c>
      <c r="C211" s="14" t="s">
        <v>10</v>
      </c>
      <c r="D211" s="100" t="s">
        <v>305</v>
      </c>
      <c r="E211" s="4"/>
      <c r="F211" s="14" t="s">
        <v>14</v>
      </c>
      <c r="G211" s="4"/>
      <c r="H211" s="13"/>
      <c r="J211" s="107" t="s">
        <v>6</v>
      </c>
      <c r="K211" s="108"/>
      <c r="L211" s="30"/>
    </row>
    <row r="212" spans="2:12" ht="36" x14ac:dyDescent="0.3">
      <c r="B212" s="14" t="s">
        <v>20</v>
      </c>
      <c r="C212" s="95" t="s">
        <v>281</v>
      </c>
      <c r="D212" s="9"/>
      <c r="E212" s="9"/>
      <c r="G212" s="9"/>
      <c r="H212" s="10"/>
      <c r="J212" s="135" t="s">
        <v>7</v>
      </c>
      <c r="K212" s="136"/>
      <c r="L212" s="137"/>
    </row>
    <row r="213" spans="2:12" ht="16.5" customHeight="1" x14ac:dyDescent="0.3">
      <c r="B213" s="4">
        <f t="array" ref="B213:H213">Days+22+DATE(Calendar11Year,Calendar11MonthOption,1)-WEEKDAY(DATE(Calendar11Year,Calendar11MonthOption,1),WeekdayOption)</f>
        <v>46342</v>
      </c>
      <c r="C213" s="4">
        <v>46343</v>
      </c>
      <c r="D213" s="4">
        <v>46344</v>
      </c>
      <c r="E213" s="4">
        <v>46345</v>
      </c>
      <c r="F213" s="4">
        <v>46346</v>
      </c>
      <c r="G213" s="4">
        <v>46347</v>
      </c>
      <c r="H213" s="5">
        <v>46348</v>
      </c>
      <c r="J213" s="160" t="s">
        <v>8</v>
      </c>
      <c r="K213" s="161"/>
      <c r="L213" s="39"/>
    </row>
    <row r="214" spans="2:12" ht="36" x14ac:dyDescent="0.3">
      <c r="B214" s="14" t="s">
        <v>9</v>
      </c>
      <c r="C214" s="14" t="s">
        <v>10</v>
      </c>
      <c r="D214" s="101" t="s">
        <v>291</v>
      </c>
      <c r="E214" s="101" t="s">
        <v>291</v>
      </c>
      <c r="F214" s="14" t="s">
        <v>14</v>
      </c>
      <c r="G214" s="4"/>
      <c r="H214" s="13"/>
      <c r="J214" s="139" t="s">
        <v>334</v>
      </c>
      <c r="K214" s="140"/>
      <c r="L214" s="141"/>
    </row>
    <row r="215" spans="2:12" ht="36" x14ac:dyDescent="0.3">
      <c r="B215" s="31" t="s">
        <v>26</v>
      </c>
      <c r="C215" s="9"/>
      <c r="D215" s="9"/>
      <c r="E215" s="9"/>
      <c r="F215" s="113" t="s">
        <v>311</v>
      </c>
      <c r="G215" s="9"/>
      <c r="H215" s="10"/>
      <c r="J215" s="110" t="s">
        <v>312</v>
      </c>
      <c r="K215" s="111"/>
      <c r="L215" s="112"/>
    </row>
    <row r="216" spans="2:12" ht="16.5" customHeight="1" x14ac:dyDescent="0.3">
      <c r="B216" s="4">
        <f t="array" ref="B216:H216">Days+29+DATE(Calendar11Year,Calendar11MonthOption,1)-WEEKDAY(DATE(Calendar11Year,Calendar11MonthOption,1),WeekdayOption)</f>
        <v>46349</v>
      </c>
      <c r="C216" s="4">
        <v>46350</v>
      </c>
      <c r="D216" s="4">
        <v>46351</v>
      </c>
      <c r="E216" s="4">
        <v>46352</v>
      </c>
      <c r="F216" s="4">
        <v>46353</v>
      </c>
      <c r="G216" s="4">
        <v>46354</v>
      </c>
      <c r="H216" s="5">
        <v>46355</v>
      </c>
    </row>
    <row r="217" spans="2:12" ht="36" x14ac:dyDescent="0.3">
      <c r="B217" s="14" t="s">
        <v>9</v>
      </c>
      <c r="C217" s="14" t="s">
        <v>10</v>
      </c>
      <c r="D217" s="31" t="s">
        <v>22</v>
      </c>
      <c r="E217" s="37" t="s">
        <v>31</v>
      </c>
      <c r="F217" s="109" t="s">
        <v>326</v>
      </c>
      <c r="G217" s="4"/>
      <c r="H217" s="13"/>
    </row>
    <row r="218" spans="2:12" ht="36" x14ac:dyDescent="0.3">
      <c r="B218" s="14" t="s">
        <v>20</v>
      </c>
      <c r="C218" s="9"/>
      <c r="D218" s="4"/>
      <c r="E218" s="38" t="s">
        <v>33</v>
      </c>
      <c r="F218" s="14" t="s">
        <v>14</v>
      </c>
      <c r="G218" s="4"/>
      <c r="H218" s="13"/>
    </row>
    <row r="219" spans="2:12" ht="36" x14ac:dyDescent="0.3">
      <c r="B219" s="9"/>
      <c r="C219" s="9"/>
      <c r="D219" s="9"/>
      <c r="E219" s="38" t="s">
        <v>32</v>
      </c>
      <c r="F219" s="9"/>
      <c r="G219" s="9"/>
      <c r="H219" s="11"/>
    </row>
    <row r="220" spans="2:12" ht="16.5" customHeight="1" x14ac:dyDescent="0.3">
      <c r="B220" s="4">
        <f t="array" ref="B220:C220">Days+36+DATE(Calendar11Year,Calendar11MonthOption,1)-WEEKDAY(DATE(Calendar11Year,Calendar11MonthOption,1),WeekdayOption)</f>
        <v>46356</v>
      </c>
      <c r="C220" s="4">
        <v>46357</v>
      </c>
      <c r="D220" s="157" t="s">
        <v>0</v>
      </c>
      <c r="E220" s="158"/>
      <c r="F220" s="158"/>
      <c r="G220" s="158"/>
      <c r="H220" s="158"/>
    </row>
    <row r="221" spans="2:12" ht="63.75" customHeight="1" x14ac:dyDescent="0.3">
      <c r="B221" s="9"/>
      <c r="C221" s="9"/>
      <c r="D221" s="156"/>
      <c r="E221" s="156"/>
      <c r="F221" s="156"/>
      <c r="G221" s="156"/>
      <c r="H221" s="156"/>
    </row>
    <row r="222" spans="2:12" ht="54" customHeight="1" x14ac:dyDescent="0.7">
      <c r="B222" s="1">
        <f>YEAR(DATE(Calendar11Year,Calendar11MonthOption+1,1))</f>
        <v>2026</v>
      </c>
      <c r="C222" s="155" t="str">
        <f>TEXT(DATE(Calendar11Year,Calendar11MonthOption+1,1),"mmmm")</f>
        <v>December</v>
      </c>
      <c r="D222" s="155"/>
      <c r="E222" s="155"/>
      <c r="F222" s="8"/>
      <c r="G222" s="8"/>
      <c r="H222" s="2"/>
    </row>
    <row r="223" spans="2:12" ht="14.25" customHeight="1" x14ac:dyDescent="0.3">
      <c r="B223" s="6" t="str">
        <f>UPPER(TEXT(B224,"dddd"))</f>
        <v>MONDAY</v>
      </c>
      <c r="C223" s="7" t="str">
        <f t="shared" ref="C223:H223" si="41">UPPER(TEXT(C224,"dddd"))</f>
        <v>TUESDAY</v>
      </c>
      <c r="D223" s="6" t="str">
        <f t="shared" si="41"/>
        <v>WEDNESDAY</v>
      </c>
      <c r="E223" s="7" t="str">
        <f t="shared" si="41"/>
        <v>THURSDAY</v>
      </c>
      <c r="F223" s="6" t="str">
        <f t="shared" si="41"/>
        <v>FRIDAY</v>
      </c>
      <c r="G223" s="7" t="str">
        <f t="shared" si="41"/>
        <v>SATURDAY</v>
      </c>
      <c r="H223" s="6" t="str">
        <f t="shared" si="41"/>
        <v>SUNDAY</v>
      </c>
    </row>
    <row r="224" spans="2:12" ht="16.5" customHeight="1" x14ac:dyDescent="0.3">
      <c r="B224" s="4">
        <f t="array" ref="B224:H224">Days+1+DATE(Calendar12Year,Calendar12MonthOption,1)-WEEKDAY(DATE(Calendar12Year,Calendar12MonthOption,1),WeekdayOption)</f>
        <v>46356</v>
      </c>
      <c r="C224" s="4">
        <v>46357</v>
      </c>
      <c r="D224" s="4">
        <v>46358</v>
      </c>
      <c r="E224" s="4">
        <v>46359</v>
      </c>
      <c r="F224" s="4">
        <v>46360</v>
      </c>
      <c r="G224" s="4">
        <v>46361</v>
      </c>
      <c r="H224" s="5">
        <v>46362</v>
      </c>
    </row>
    <row r="225" spans="2:15" ht="36" customHeight="1" x14ac:dyDescent="0.3">
      <c r="B225" s="14" t="s">
        <v>9</v>
      </c>
      <c r="C225" s="14" t="s">
        <v>10</v>
      </c>
      <c r="D225" s="101" t="s">
        <v>291</v>
      </c>
      <c r="E225" s="101" t="s">
        <v>291</v>
      </c>
      <c r="F225" s="14" t="s">
        <v>14</v>
      </c>
      <c r="G225" s="4"/>
      <c r="H225" s="13"/>
      <c r="O225" s="102"/>
    </row>
    <row r="226" spans="2:15" ht="56.25" customHeight="1" x14ac:dyDescent="0.3">
      <c r="B226" s="14" t="s">
        <v>20</v>
      </c>
      <c r="C226" s="152" t="s">
        <v>337</v>
      </c>
      <c r="D226" s="101"/>
      <c r="E226" s="9"/>
      <c r="F226" s="9"/>
      <c r="G226" s="9"/>
      <c r="H226" s="10"/>
    </row>
    <row r="227" spans="2:15" ht="16.5" customHeight="1" x14ac:dyDescent="0.3">
      <c r="B227" s="4">
        <f t="array" ref="B227:H227">Days+8+DATE(Calendar12Year,Calendar12MonthOption,1)-WEEKDAY(DATE(Calendar12Year,Calendar12MonthOption,1),WeekdayOption)</f>
        <v>46363</v>
      </c>
      <c r="C227" s="4">
        <v>46364</v>
      </c>
      <c r="D227" s="4">
        <v>46365</v>
      </c>
      <c r="E227" s="4">
        <v>46366</v>
      </c>
      <c r="F227" s="4">
        <v>46367</v>
      </c>
      <c r="G227" s="4">
        <v>46368</v>
      </c>
      <c r="H227" s="5">
        <v>46369</v>
      </c>
    </row>
    <row r="228" spans="2:15" ht="36" x14ac:dyDescent="0.3">
      <c r="B228" s="14" t="s">
        <v>9</v>
      </c>
      <c r="C228" s="14" t="s">
        <v>10</v>
      </c>
      <c r="D228" s="101" t="s">
        <v>291</v>
      </c>
      <c r="E228" s="113" t="s">
        <v>311</v>
      </c>
      <c r="F228" s="14" t="s">
        <v>14</v>
      </c>
      <c r="G228" s="4"/>
      <c r="H228" s="13"/>
    </row>
    <row r="229" spans="2:15" ht="36" x14ac:dyDescent="0.3">
      <c r="B229" s="14" t="s">
        <v>20</v>
      </c>
      <c r="C229" s="15" t="s">
        <v>18</v>
      </c>
      <c r="D229" s="9"/>
      <c r="E229" s="9"/>
      <c r="F229" s="14"/>
      <c r="G229" s="9"/>
      <c r="H229" s="10"/>
      <c r="J229" s="162" t="s">
        <v>3</v>
      </c>
      <c r="K229" s="163"/>
      <c r="L229" s="164"/>
    </row>
    <row r="230" spans="2:15" ht="16.5" customHeight="1" x14ac:dyDescent="0.3">
      <c r="B230" s="4">
        <f t="array" ref="B230:H230">Days+15+DATE(Calendar12Year,Calendar12MonthOption,1)-WEEKDAY(DATE(Calendar12Year,Calendar12MonthOption,1),WeekdayOption)</f>
        <v>46370</v>
      </c>
      <c r="C230" s="4">
        <v>46371</v>
      </c>
      <c r="D230" s="4">
        <v>46372</v>
      </c>
      <c r="E230" s="4">
        <v>46373</v>
      </c>
      <c r="F230" s="4">
        <v>46374</v>
      </c>
      <c r="G230" s="4">
        <v>46375</v>
      </c>
      <c r="H230" s="5">
        <v>46376</v>
      </c>
      <c r="J230" s="165"/>
      <c r="K230" s="166"/>
      <c r="L230" s="167"/>
    </row>
    <row r="231" spans="2:15" ht="37.15" customHeight="1" x14ac:dyDescent="0.3">
      <c r="B231" s="14" t="s">
        <v>9</v>
      </c>
      <c r="C231" s="14" t="s">
        <v>10</v>
      </c>
      <c r="D231" s="147" t="s">
        <v>308</v>
      </c>
      <c r="E231" s="33" t="s">
        <v>13</v>
      </c>
      <c r="F231" s="14" t="s">
        <v>14</v>
      </c>
      <c r="G231" s="4"/>
      <c r="H231" s="13"/>
      <c r="J231" s="103" t="s">
        <v>4</v>
      </c>
      <c r="K231" s="104"/>
      <c r="L231" s="28"/>
    </row>
    <row r="232" spans="2:15" ht="56.25" customHeight="1" x14ac:dyDescent="0.3">
      <c r="B232" s="14" t="s">
        <v>20</v>
      </c>
      <c r="C232" s="15" t="s">
        <v>11</v>
      </c>
      <c r="D232" s="9"/>
      <c r="E232" s="109" t="s">
        <v>326</v>
      </c>
      <c r="F232" s="33" t="s">
        <v>12</v>
      </c>
      <c r="G232" s="9"/>
      <c r="H232" s="10"/>
      <c r="J232" s="105" t="s">
        <v>5</v>
      </c>
      <c r="K232" s="106"/>
      <c r="L232" s="29"/>
    </row>
    <row r="233" spans="2:15" ht="16.5" customHeight="1" x14ac:dyDescent="0.3">
      <c r="B233" s="4">
        <f t="array" ref="B233:H233">Days+22+DATE(Calendar12Year,Calendar12MonthOption,1)-WEEKDAY(DATE(Calendar12Year,Calendar12MonthOption,1),WeekdayOption)</f>
        <v>46377</v>
      </c>
      <c r="C233" s="4">
        <v>46378</v>
      </c>
      <c r="D233" s="4">
        <v>46379</v>
      </c>
      <c r="E233" s="4">
        <v>46380</v>
      </c>
      <c r="F233" s="4">
        <v>46381</v>
      </c>
      <c r="G233" s="4">
        <v>46382</v>
      </c>
      <c r="H233" s="5">
        <v>46383</v>
      </c>
      <c r="J233" s="107" t="s">
        <v>6</v>
      </c>
      <c r="K233" s="108"/>
      <c r="L233" s="30"/>
    </row>
    <row r="234" spans="2:15" ht="36" x14ac:dyDescent="0.3">
      <c r="B234" s="14" t="s">
        <v>10</v>
      </c>
      <c r="C234" s="14" t="s">
        <v>20</v>
      </c>
      <c r="D234" s="113" t="s">
        <v>311</v>
      </c>
      <c r="E234" s="101" t="s">
        <v>291</v>
      </c>
      <c r="F234" s="147" t="s">
        <v>308</v>
      </c>
      <c r="G234" s="147" t="s">
        <v>308</v>
      </c>
      <c r="H234" s="13"/>
      <c r="J234" s="135" t="s">
        <v>7</v>
      </c>
      <c r="K234" s="136"/>
      <c r="L234" s="137"/>
    </row>
    <row r="235" spans="2:15" ht="36" x14ac:dyDescent="0.3">
      <c r="B235" s="14" t="s">
        <v>9</v>
      </c>
      <c r="D235" s="9"/>
      <c r="G235" s="4"/>
      <c r="H235" s="13"/>
      <c r="J235" s="160" t="s">
        <v>8</v>
      </c>
      <c r="K235" s="161"/>
      <c r="L235" s="39"/>
    </row>
    <row r="236" spans="2:15" ht="3.6" customHeight="1" x14ac:dyDescent="0.3">
      <c r="B236" s="9"/>
      <c r="C236" s="9"/>
      <c r="D236" s="9"/>
      <c r="G236" s="9"/>
      <c r="H236" s="10"/>
      <c r="J236" s="90" t="s">
        <v>277</v>
      </c>
      <c r="K236" s="91"/>
      <c r="L236" s="102"/>
    </row>
    <row r="237" spans="2:15" ht="16.5" customHeight="1" x14ac:dyDescent="0.3">
      <c r="B237" s="4">
        <f t="array" ref="B237:H237">Days+29+DATE(Calendar12Year,Calendar12MonthOption,1)-WEEKDAY(DATE(Calendar12Year,Calendar12MonthOption,1),WeekdayOption)</f>
        <v>46384</v>
      </c>
      <c r="C237" s="4">
        <v>46385</v>
      </c>
      <c r="D237" s="4">
        <v>46386</v>
      </c>
      <c r="E237" s="4">
        <v>46387</v>
      </c>
      <c r="F237" s="4">
        <v>46388</v>
      </c>
      <c r="G237" s="4">
        <v>46389</v>
      </c>
      <c r="H237" s="5">
        <v>46390</v>
      </c>
      <c r="J237" s="110" t="s">
        <v>312</v>
      </c>
      <c r="K237" s="111"/>
      <c r="L237" s="112"/>
    </row>
    <row r="238" spans="2:15" ht="33" customHeight="1" x14ac:dyDescent="0.3">
      <c r="B238" s="14" t="s">
        <v>9</v>
      </c>
      <c r="C238" s="14" t="s">
        <v>10</v>
      </c>
      <c r="D238" s="9"/>
      <c r="E238" s="9"/>
      <c r="F238" s="146" t="s">
        <v>308</v>
      </c>
      <c r="G238" s="4"/>
      <c r="H238" s="13"/>
      <c r="J238" s="139" t="s">
        <v>334</v>
      </c>
      <c r="K238" s="140"/>
      <c r="L238" s="141"/>
    </row>
    <row r="239" spans="2:15" ht="57" customHeight="1" x14ac:dyDescent="0.3">
      <c r="B239" s="9"/>
      <c r="C239" s="9"/>
      <c r="D239" s="9"/>
      <c r="E239" s="9"/>
      <c r="F239" s="101"/>
      <c r="G239" s="9"/>
      <c r="H239" s="10"/>
    </row>
    <row r="240" spans="2:15" ht="63.75" customHeight="1" x14ac:dyDescent="0.3">
      <c r="B240" s="125"/>
      <c r="C240" s="131"/>
      <c r="D240" s="156"/>
      <c r="E240" s="156"/>
      <c r="F240" s="156"/>
      <c r="G240" s="156"/>
      <c r="H240" s="156"/>
    </row>
  </sheetData>
  <mergeCells count="51">
    <mergeCell ref="K193:L193"/>
    <mergeCell ref="J207:L208"/>
    <mergeCell ref="J213:K213"/>
    <mergeCell ref="J229:L230"/>
    <mergeCell ref="J235:K235"/>
    <mergeCell ref="K148:M149"/>
    <mergeCell ref="K154:L154"/>
    <mergeCell ref="K168:M169"/>
    <mergeCell ref="K174:L174"/>
    <mergeCell ref="K187:M188"/>
    <mergeCell ref="L95:M95"/>
    <mergeCell ref="K108:M109"/>
    <mergeCell ref="K114:L114"/>
    <mergeCell ref="K129:M130"/>
    <mergeCell ref="K135:L135"/>
    <mergeCell ref="M49:O50"/>
    <mergeCell ref="L70:N71"/>
    <mergeCell ref="L76:M76"/>
    <mergeCell ref="L89:N90"/>
    <mergeCell ref="M55:N55"/>
    <mergeCell ref="L12:M12"/>
    <mergeCell ref="L6:N7"/>
    <mergeCell ref="C1:E1"/>
    <mergeCell ref="C24:E24"/>
    <mergeCell ref="C43:E43"/>
    <mergeCell ref="L30:N31"/>
    <mergeCell ref="L36:M36"/>
    <mergeCell ref="C63:E63"/>
    <mergeCell ref="D121:H121"/>
    <mergeCell ref="D220:H220"/>
    <mergeCell ref="D23:H23"/>
    <mergeCell ref="D62:H62"/>
    <mergeCell ref="D82:H82"/>
    <mergeCell ref="D101:H101"/>
    <mergeCell ref="D42:H42"/>
    <mergeCell ref="C83:E83"/>
    <mergeCell ref="C102:E102"/>
    <mergeCell ref="C123:E123"/>
    <mergeCell ref="D122:H122"/>
    <mergeCell ref="D179:H179"/>
    <mergeCell ref="D141:H141"/>
    <mergeCell ref="D160:H160"/>
    <mergeCell ref="C161:E161"/>
    <mergeCell ref="C142:E142"/>
    <mergeCell ref="D240:H240"/>
    <mergeCell ref="D199:H199"/>
    <mergeCell ref="D200:H200"/>
    <mergeCell ref="D221:H221"/>
    <mergeCell ref="C180:E180"/>
    <mergeCell ref="C201:E201"/>
    <mergeCell ref="C222:E222"/>
  </mergeCells>
  <phoneticPr fontId="2" type="noConversion"/>
  <conditionalFormatting sqref="B20:B21">
    <cfRule type="expression" dxfId="178" priority="97">
      <formula>MONTH(B20)&lt;&gt;Calendar1MonthOption</formula>
    </cfRule>
  </conditionalFormatting>
  <conditionalFormatting sqref="B40:B41">
    <cfRule type="expression" dxfId="177" priority="176">
      <formula>MONTH(B40)&lt;&gt;Calendar1MonthOption</formula>
    </cfRule>
  </conditionalFormatting>
  <conditionalFormatting sqref="B46:B47">
    <cfRule type="expression" dxfId="176" priority="160">
      <formula>MONTH(B46)&lt;&gt;Calendar3MonthOption</formula>
    </cfRule>
  </conditionalFormatting>
  <conditionalFormatting sqref="B52:B54">
    <cfRule type="expression" dxfId="175" priority="483">
      <formula>MONTH(B52)&lt;&gt;Calendar1MonthOption</formula>
    </cfRule>
  </conditionalFormatting>
  <conditionalFormatting sqref="B59:B60">
    <cfRule type="expression" dxfId="174" priority="164">
      <formula>MONTH(B59)&lt;&gt;Calendar1MonthOption</formula>
    </cfRule>
  </conditionalFormatting>
  <conditionalFormatting sqref="B70:B71">
    <cfRule type="expression" dxfId="173" priority="14">
      <formula>MONTH(B70)&lt;&gt;Calendar1MonthOption</formula>
    </cfRule>
  </conditionalFormatting>
  <conditionalFormatting sqref="B73:B74">
    <cfRule type="expression" dxfId="172" priority="458">
      <formula>MONTH(B73)&lt;&gt;Calendar1MonthOption</formula>
    </cfRule>
  </conditionalFormatting>
  <conditionalFormatting sqref="B76:B77">
    <cfRule type="expression" dxfId="171" priority="1">
      <formula>MONTH(B76)&lt;&gt;Calendar1MonthOption</formula>
    </cfRule>
  </conditionalFormatting>
  <conditionalFormatting sqref="B80">
    <cfRule type="expression" dxfId="170" priority="188">
      <formula>MONTH(B80)&lt;&gt;Calendar1MonthOption</formula>
    </cfRule>
  </conditionalFormatting>
  <conditionalFormatting sqref="B86">
    <cfRule type="expression" dxfId="169" priority="87">
      <formula>MONTH(B86)&lt;&gt;Calendar1MonthOption</formula>
    </cfRule>
  </conditionalFormatting>
  <conditionalFormatting sqref="B89:B90">
    <cfRule type="expression" dxfId="168" priority="452">
      <formula>MONTH(B89)&lt;&gt;Calendar1MonthOption</formula>
    </cfRule>
  </conditionalFormatting>
  <conditionalFormatting sqref="B92:B93">
    <cfRule type="expression" dxfId="167" priority="450">
      <formula>MONTH(B92)&lt;&gt;Calendar1MonthOption</formula>
    </cfRule>
  </conditionalFormatting>
  <conditionalFormatting sqref="B95:B96">
    <cfRule type="expression" dxfId="166" priority="448">
      <formula>MONTH(B95)&lt;&gt;Calendar1MonthOption</formula>
    </cfRule>
  </conditionalFormatting>
  <conditionalFormatting sqref="B99:B100">
    <cfRule type="expression" dxfId="165" priority="381">
      <formula>MONTH(B99)&lt;&gt;Calendar1MonthOption</formula>
    </cfRule>
  </conditionalFormatting>
  <conditionalFormatting sqref="B112:B113">
    <cfRule type="expression" dxfId="164" priority="269">
      <formula>MONTH(B112)&lt;&gt;Calendar1MonthOption</formula>
    </cfRule>
  </conditionalFormatting>
  <conditionalFormatting sqref="B118:B119">
    <cfRule type="expression" dxfId="163" priority="267">
      <formula>MONTH(B118)&lt;&gt;Calendar1MonthOption</formula>
    </cfRule>
  </conditionalFormatting>
  <conditionalFormatting sqref="B126:B127">
    <cfRule type="expression" dxfId="162" priority="438">
      <formula>MONTH(B126)&lt;&gt;Calendar1MonthOption</formula>
    </cfRule>
  </conditionalFormatting>
  <conditionalFormatting sqref="B129:B130">
    <cfRule type="expression" dxfId="161" priority="436">
      <formula>MONTH(B129)&lt;&gt;Calendar1MonthOption</formula>
    </cfRule>
  </conditionalFormatting>
  <conditionalFormatting sqref="B132:B133">
    <cfRule type="expression" dxfId="160" priority="434">
      <formula>MONTH(B132)&lt;&gt;Calendar1MonthOption</formula>
    </cfRule>
  </conditionalFormatting>
  <conditionalFormatting sqref="B135:B136">
    <cfRule type="expression" dxfId="159" priority="432">
      <formula>MONTH(B135)&lt;&gt;Calendar1MonthOption</formula>
    </cfRule>
  </conditionalFormatting>
  <conditionalFormatting sqref="B148:B149">
    <cfRule type="expression" dxfId="158" priority="428">
      <formula>MONTH(B148)&lt;&gt;Calendar1MonthOption</formula>
    </cfRule>
  </conditionalFormatting>
  <conditionalFormatting sqref="B151">
    <cfRule type="expression" dxfId="157" priority="9">
      <formula>MONTH(B151)&lt;&gt;Calendar8MonthOption</formula>
    </cfRule>
    <cfRule type="expression" dxfId="156" priority="8">
      <formula>MONTH(B151)&lt;&gt;Calendar1MonthOption</formula>
    </cfRule>
  </conditionalFormatting>
  <conditionalFormatting sqref="B164:B165">
    <cfRule type="expression" dxfId="155" priority="56">
      <formula>MONTH(B164)&lt;&gt;Calendar1MonthOption</formula>
    </cfRule>
  </conditionalFormatting>
  <conditionalFormatting sqref="B170:B171">
    <cfRule type="expression" dxfId="154" priority="418">
      <formula>MONTH(B170)&lt;&gt;Calendar1MonthOption</formula>
    </cfRule>
  </conditionalFormatting>
  <conditionalFormatting sqref="B173:B174">
    <cfRule type="expression" dxfId="153" priority="416">
      <formula>MONTH(B173)&lt;&gt;Calendar1MonthOption</formula>
    </cfRule>
  </conditionalFormatting>
  <conditionalFormatting sqref="B190:B191">
    <cfRule type="expression" dxfId="152" priority="412">
      <formula>MONTH(B190)&lt;&gt;Calendar1MonthOption</formula>
    </cfRule>
  </conditionalFormatting>
  <conditionalFormatting sqref="B193:B194">
    <cfRule type="expression" dxfId="151" priority="410">
      <formula>MONTH(B193)&lt;&gt;Calendar1MonthOption</formula>
    </cfRule>
  </conditionalFormatting>
  <conditionalFormatting sqref="B214:B215">
    <cfRule type="expression" dxfId="150" priority="127">
      <formula>MONTH(B214)&lt;&gt;Calendar1MonthOption</formula>
    </cfRule>
  </conditionalFormatting>
  <conditionalFormatting sqref="B217:B218">
    <cfRule type="expression" dxfId="149" priority="140">
      <formula>MONTH(B217)&lt;&gt;Calendar1MonthOption</formula>
    </cfRule>
  </conditionalFormatting>
  <conditionalFormatting sqref="B225:B226">
    <cfRule type="expression" dxfId="148" priority="52">
      <formula>MONTH(B225)&lt;&gt;Calendar1MonthOption</formula>
    </cfRule>
  </conditionalFormatting>
  <conditionalFormatting sqref="B27:C28">
    <cfRule type="expression" dxfId="147" priority="171">
      <formula>MONTH(B27)&lt;&gt;Calendar1MonthOption</formula>
    </cfRule>
  </conditionalFormatting>
  <conditionalFormatting sqref="B31:C31">
    <cfRule type="expression" dxfId="146" priority="501">
      <formula>MONTH(B31)&lt;&gt;Calendar1MonthOption</formula>
    </cfRule>
  </conditionalFormatting>
  <conditionalFormatting sqref="B36:C37">
    <cfRule type="expression" dxfId="145" priority="116">
      <formula>MONTH(B36)&lt;&gt;Calendar1MonthOption</formula>
    </cfRule>
  </conditionalFormatting>
  <conditionalFormatting sqref="B49:C50">
    <cfRule type="expression" dxfId="144" priority="474">
      <formula>MONTH(B49)&lt;&gt;Calendar1MonthOption</formula>
    </cfRule>
  </conditionalFormatting>
  <conditionalFormatting sqref="B67:C68">
    <cfRule type="expression" dxfId="143" priority="111">
      <formula>MONTH(B67)&lt;&gt;Calendar1MonthOption</formula>
    </cfRule>
  </conditionalFormatting>
  <conditionalFormatting sqref="B196:C198">
    <cfRule type="expression" dxfId="142" priority="216">
      <formula>MONTH(B196)&lt;&gt;Calendar1MonthOption</formula>
    </cfRule>
  </conditionalFormatting>
  <conditionalFormatting sqref="B207:C208">
    <cfRule type="expression" dxfId="141" priority="141">
      <formula>MONTH(B207)&lt;&gt;Calendar1MonthOption</formula>
    </cfRule>
  </conditionalFormatting>
  <conditionalFormatting sqref="B211:C212">
    <cfRule type="expression" dxfId="140" priority="119">
      <formula>MONTH(B211)&lt;&gt;Calendar1MonthOption</formula>
    </cfRule>
  </conditionalFormatting>
  <conditionalFormatting sqref="B228:C229">
    <cfRule type="expression" dxfId="139" priority="298">
      <formula>MONTH(B228)&lt;&gt;Calendar1MonthOption</formula>
    </cfRule>
  </conditionalFormatting>
  <conditionalFormatting sqref="B231:C232">
    <cfRule type="expression" dxfId="138" priority="5">
      <formula>MONTH(B231)&lt;&gt;Calendar1MonthOption</formula>
    </cfRule>
  </conditionalFormatting>
  <conditionalFormatting sqref="B238:C238">
    <cfRule type="expression" dxfId="137" priority="307">
      <formula>MONTH(B238)&lt;&gt;Calendar1MonthOption</formula>
    </cfRule>
  </conditionalFormatting>
  <conditionalFormatting sqref="B108:D109">
    <cfRule type="expression" dxfId="136" priority="121">
      <formula>MONTH(B108)&lt;&gt;Calendar1MonthOption</formula>
    </cfRule>
  </conditionalFormatting>
  <conditionalFormatting sqref="B138:D138">
    <cfRule type="expression" dxfId="135" priority="195">
      <formula>MONTH(B138)&lt;&gt;Calendar1MonthOption</formula>
    </cfRule>
  </conditionalFormatting>
  <conditionalFormatting sqref="B145:D145">
    <cfRule type="expression" dxfId="134" priority="386">
      <formula>MONTH(B145)&lt;&gt;Calendar8MonthOption</formula>
    </cfRule>
  </conditionalFormatting>
  <conditionalFormatting sqref="B154:D155">
    <cfRule type="expression" dxfId="133" priority="120">
      <formula>MONTH(B154)&lt;&gt;Calendar1MonthOption</formula>
    </cfRule>
  </conditionalFormatting>
  <conditionalFormatting sqref="B157:D158">
    <cfRule type="expression" dxfId="132" priority="250">
      <formula>MONTH(B157)&lt;&gt;Calendar1MonthOption</formula>
    </cfRule>
  </conditionalFormatting>
  <conditionalFormatting sqref="B30:E30">
    <cfRule type="expression" dxfId="131" priority="180">
      <formula>MONTH(B30)&lt;&gt;Calendar1MonthOption</formula>
    </cfRule>
  </conditionalFormatting>
  <conditionalFormatting sqref="B33:E33">
    <cfRule type="expression" dxfId="130" priority="182">
      <formula>MONTH(B33)&lt;&gt;Calendar1MonthOption</formula>
    </cfRule>
  </conditionalFormatting>
  <conditionalFormatting sqref="B16:F17">
    <cfRule type="expression" dxfId="129" priority="495">
      <formula>MONTH(B16)&lt;&gt;Calendar1MonthOption</formula>
    </cfRule>
  </conditionalFormatting>
  <conditionalFormatting sqref="B56:F57">
    <cfRule type="expression" dxfId="128" priority="162">
      <formula>MONTH(B56)&lt;&gt;Calendar1MonthOption</formula>
    </cfRule>
  </conditionalFormatting>
  <conditionalFormatting sqref="B187:F188">
    <cfRule type="expression" dxfId="127" priority="33">
      <formula>MONTH(B187)&lt;&gt;Calendar1MonthOption</formula>
    </cfRule>
  </conditionalFormatting>
  <conditionalFormatting sqref="B3:H3 B15:H15">
    <cfRule type="expression" dxfId="126" priority="553">
      <formula>MONTH(B3)&lt;&gt;Calendar1MonthOption</formula>
    </cfRule>
  </conditionalFormatting>
  <conditionalFormatting sqref="B26:H26 D27 G27:H27 B29:H29 G30:H30 B32:H32 G33:H33 B35:H35 G36:H37 B39:H39 G40:H40">
    <cfRule type="expression" dxfId="125" priority="542">
      <formula>MONTH(B26)&lt;&gt;Calendar2MonthOption</formula>
    </cfRule>
  </conditionalFormatting>
  <conditionalFormatting sqref="B45:H45 D46:E46 G46:H46 B48:H48 G49:H49 B51:H51 G52:H52 B55:H55 H56 B58:H58 F60:H60">
    <cfRule type="expression" dxfId="124" priority="540">
      <formula>MONTH(B45)&lt;&gt;Calendar3MonthOption</formula>
    </cfRule>
  </conditionalFormatting>
  <conditionalFormatting sqref="B65:H65 G66 G67:H67 B69:H69 G70:H70 B72:H72 H73 B75:H75 H76 G77:H77 B79:H79 E80:H80">
    <cfRule type="expression" dxfId="123" priority="538">
      <formula>MONTH(B65)&lt;&gt;Calendar4MonthOption</formula>
    </cfRule>
  </conditionalFormatting>
  <conditionalFormatting sqref="B85:H85 G86:H86 B88:H88 G89 B91:H91 G92:H92 B94:H94 G95:H95 B97:H97 B98:C98">
    <cfRule type="expression" dxfId="122" priority="536">
      <formula>MONTH(B85)&lt;&gt;Calendar5MonthOption</formula>
    </cfRule>
  </conditionalFormatting>
  <conditionalFormatting sqref="B104:H105">
    <cfRule type="expression" dxfId="121" priority="383">
      <formula>MONTH(B104)&lt;&gt;Calendar6MonthOption</formula>
    </cfRule>
  </conditionalFormatting>
  <conditionalFormatting sqref="B107:H107 G108:H109 B111:H111 G112 B114:H114 G115:H115 B117:H117 G118:H119 B121:C121">
    <cfRule type="expression" dxfId="120" priority="534">
      <formula>MONTH(B107)&lt;&gt;Calendar6MonthOption</formula>
    </cfRule>
  </conditionalFormatting>
  <conditionalFormatting sqref="B125:H125 E126 G126:H126 B128:H128 G129:H129 B131:H131 H132 B134:H134 G135:H135 B137:H137 E138:H138 B139 D139:H139">
    <cfRule type="expression" dxfId="119" priority="532">
      <formula>MONTH(B125)&lt;&gt;Calendar7MonthOption</formula>
    </cfRule>
  </conditionalFormatting>
  <conditionalFormatting sqref="B144:H144 G145:H145 B147:H147 H148 B150:H150 G151:H151 B153:H153 G154:H154 B156:H156 G157:H157 F158:H158">
    <cfRule type="expression" dxfId="118" priority="530">
      <formula>MONTH(B144)&lt;&gt;Calendar8MonthOption</formula>
    </cfRule>
  </conditionalFormatting>
  <conditionalFormatting sqref="B163:H163 D164 F164:H164">
    <cfRule type="expression" dxfId="117" priority="389">
      <formula>MONTH(B163)&lt;&gt;Calendar9MonthOption</formula>
    </cfRule>
  </conditionalFormatting>
  <conditionalFormatting sqref="B166:H166 G167:H167 B169:H169 G170:H170 B172:H172 G173:H173 B175:H175 F176:H176 E177 G177:H177">
    <cfRule type="expression" dxfId="116" priority="528">
      <formula>MONTH(B166)&lt;&gt;Calendar9MonthOption</formula>
    </cfRule>
  </conditionalFormatting>
  <conditionalFormatting sqref="B182:H182 G183:H183 B186:H186 G187:H187 B189:H189 G190:H190 B192:H192 G193:H193 B195:H195 F196:H196 D197:H197 B199:C199">
    <cfRule type="expression" dxfId="115" priority="518">
      <formula>MONTH(B182)&lt;&gt;Calendar10MonthOption</formula>
    </cfRule>
  </conditionalFormatting>
  <conditionalFormatting sqref="B203:H203 B204:E204 G204:H204 B206:H206 G207:H208 B210:H210 E211 G211:H211 B213:H213 G214:H214 B216:H216 D217:D218 G217:H218 B220:C220">
    <cfRule type="expression" dxfId="114" priority="517">
      <formula>MONTH(B203)&lt;&gt;Calendar11MonthOption</formula>
    </cfRule>
  </conditionalFormatting>
  <conditionalFormatting sqref="B224:H224 G225:H225 B227:H227 G228:H228 B230:H230 E231 G231:H231 B233:H233 H234 G235:H235 B237:H237 G238:H238">
    <cfRule type="expression" dxfId="113" priority="516">
      <formula>MONTH(B224)&lt;&gt;Calendar12MonthOption</formula>
    </cfRule>
  </conditionalFormatting>
  <conditionalFormatting sqref="C21:C22">
    <cfRule type="expression" dxfId="112" priority="95">
      <formula>MONTH(C21)&lt;&gt;Calendar1MonthOption</formula>
    </cfRule>
  </conditionalFormatting>
  <conditionalFormatting sqref="C59:C61">
    <cfRule type="expression" dxfId="111" priority="161">
      <formula>MONTH(C59)&lt;&gt;Calendar1MonthOption</formula>
    </cfRule>
  </conditionalFormatting>
  <conditionalFormatting sqref="C80:C81">
    <cfRule type="expression" dxfId="110" priority="90">
      <formula>MONTH(C80)&lt;&gt;Calendar1MonthOption</formula>
    </cfRule>
  </conditionalFormatting>
  <conditionalFormatting sqref="C86 E98 F98:H99">
    <cfRule type="expression" dxfId="109" priority="380">
      <formula>MONTH(C86)&lt;&gt;Calendar5MonthOption</formula>
    </cfRule>
  </conditionalFormatting>
  <conditionalFormatting sqref="C99">
    <cfRule type="expression" dxfId="108" priority="335">
      <formula>MONTH(C99)&lt;&gt;Calendar1MonthOption</formula>
    </cfRule>
  </conditionalFormatting>
  <conditionalFormatting sqref="C126">
    <cfRule type="expression" dxfId="107" priority="330">
      <formula>MONTH(C126)&lt;&gt;Calendar1MonthOption</formula>
    </cfRule>
  </conditionalFormatting>
  <conditionalFormatting sqref="C132">
    <cfRule type="expression" dxfId="106" priority="328">
      <formula>MONTH(C132)&lt;&gt;Calendar1MonthOption</formula>
    </cfRule>
  </conditionalFormatting>
  <conditionalFormatting sqref="C148">
    <cfRule type="expression" dxfId="105" priority="326">
      <formula>MONTH(C148)&lt;&gt;Calendar1MonthOption</formula>
    </cfRule>
  </conditionalFormatting>
  <conditionalFormatting sqref="C151:C152">
    <cfRule type="expression" dxfId="104" priority="11">
      <formula>MONTH(C151)&lt;&gt;Calendar1MonthOption</formula>
    </cfRule>
  </conditionalFormatting>
  <conditionalFormatting sqref="C176">
    <cfRule type="expression" dxfId="103" priority="98">
      <formula>MONTH(C176)&lt;&gt;Calendar1MonthOption</formula>
    </cfRule>
  </conditionalFormatting>
  <conditionalFormatting sqref="C225">
    <cfRule type="expression" dxfId="102" priority="51">
      <formula>MONTH(C225)&lt;&gt;Calendar1MonthOption</formula>
    </cfRule>
  </conditionalFormatting>
  <conditionalFormatting sqref="C232">
    <cfRule type="expression" dxfId="101" priority="6">
      <formula>MONTH(C232)&lt;&gt;Calendar12MonthOption</formula>
    </cfRule>
  </conditionalFormatting>
  <conditionalFormatting sqref="C71:D71">
    <cfRule type="expression" dxfId="100" priority="16">
      <formula>MONTH(C71)&lt;&gt;Calendar1MonthOption</formula>
    </cfRule>
  </conditionalFormatting>
  <conditionalFormatting sqref="C115:D116">
    <cfRule type="expression" dxfId="99" priority="103">
      <formula>MONTH(C115)&lt;&gt;Calendar1MonthOption</formula>
    </cfRule>
  </conditionalFormatting>
  <conditionalFormatting sqref="C135:D135">
    <cfRule type="expression" dxfId="98" priority="198">
      <formula>MONTH(C135)&lt;&gt;Calendar1MonthOption</formula>
    </cfRule>
  </conditionalFormatting>
  <conditionalFormatting sqref="C217:D217">
    <cfRule type="expression" dxfId="97" priority="134">
      <formula>MONTH(C217)&lt;&gt;Calendar1MonthOption</formula>
    </cfRule>
  </conditionalFormatting>
  <conditionalFormatting sqref="C4:E5 G4:H5 B7:H7 B8:E9 G8:H9 B11:H11 B12:E13 G12:H13 B19:H19 B34 D36:F36 F47 E53:E54 B167:E167 B168:C168 E183 B183:D185 F196:F197 F211 E231:F232 B234:B235 F239">
    <cfRule type="expression" dxfId="96" priority="500">
      <formula>MONTH(B4)&lt;&gt;Calendar1MonthOption</formula>
    </cfRule>
  </conditionalFormatting>
  <conditionalFormatting sqref="C52:E52">
    <cfRule type="expression" dxfId="95" priority="469">
      <formula>MONTH(C52)&lt;&gt;Calendar1MonthOption</formula>
    </cfRule>
  </conditionalFormatting>
  <conditionalFormatting sqref="C70:E70">
    <cfRule type="expression" dxfId="94" priority="290">
      <formula>MONTH(C70)&lt;&gt;Calendar1MonthOption</formula>
    </cfRule>
  </conditionalFormatting>
  <conditionalFormatting sqref="C73:E73">
    <cfRule type="expression" dxfId="93" priority="287">
      <formula>MONTH(C73)&lt;&gt;Calendar1MonthOption</formula>
    </cfRule>
  </conditionalFormatting>
  <conditionalFormatting sqref="C89:E89">
    <cfRule type="expression" dxfId="92" priority="281">
      <formula>MONTH(C89)&lt;&gt;Calendar1MonthOption</formula>
    </cfRule>
  </conditionalFormatting>
  <conditionalFormatting sqref="C95:E95">
    <cfRule type="expression" dxfId="91" priority="278">
      <formula>MONTH(C95)&lt;&gt;Calendar1MonthOption</formula>
    </cfRule>
  </conditionalFormatting>
  <conditionalFormatting sqref="C129:E129">
    <cfRule type="expression" dxfId="90" priority="196">
      <formula>MONTH(C129)&lt;&gt;Calendar1MonthOption</formula>
    </cfRule>
  </conditionalFormatting>
  <conditionalFormatting sqref="C170:E170">
    <cfRule type="expression" dxfId="89" priority="156">
      <formula>MONTH(C170)&lt;&gt;Calendar1MonthOption</formula>
    </cfRule>
  </conditionalFormatting>
  <conditionalFormatting sqref="C190:E190">
    <cfRule type="expression" dxfId="88" priority="213">
      <formula>MONTH(C190)&lt;&gt;Calendar1MonthOption</formula>
    </cfRule>
  </conditionalFormatting>
  <conditionalFormatting sqref="C214:E214">
    <cfRule type="expression" dxfId="87" priority="26">
      <formula>MONTH(C214)&lt;&gt;Calendar1MonthOption</formula>
    </cfRule>
  </conditionalFormatting>
  <conditionalFormatting sqref="C20:F20">
    <cfRule type="expression" dxfId="86" priority="68">
      <formula>MONTH(C20)&lt;&gt;Calendar1MonthOption</formula>
    </cfRule>
  </conditionalFormatting>
  <conditionalFormatting sqref="C40:F40">
    <cfRule type="expression" dxfId="85" priority="24">
      <formula>MONTH(C40)&lt;&gt;Calendar1MonthOption</formula>
    </cfRule>
  </conditionalFormatting>
  <conditionalFormatting sqref="C66:F66">
    <cfRule type="expression" dxfId="84" priority="19">
      <formula>MONTH(C66)&lt;&gt;Calendar1MonthOption</formula>
    </cfRule>
  </conditionalFormatting>
  <conditionalFormatting sqref="C92:F92">
    <cfRule type="expression" dxfId="83" priority="79">
      <formula>MONTH(C92)&lt;&gt;Calendar1MonthOption</formula>
    </cfRule>
  </conditionalFormatting>
  <conditionalFormatting sqref="C118:F118">
    <cfRule type="expression" dxfId="82" priority="83">
      <formula>MONTH(C118)&lt;&gt;Calendar1MonthOption</formula>
    </cfRule>
  </conditionalFormatting>
  <conditionalFormatting sqref="C164:F164">
    <cfRule type="expression" dxfId="81" priority="23">
      <formula>MONTH(C164)&lt;&gt;Calendar1MonthOption</formula>
    </cfRule>
  </conditionalFormatting>
  <conditionalFormatting sqref="C173:F173">
    <cfRule type="expression" dxfId="80" priority="7">
      <formula>MONTH(C173)&lt;&gt;Calendar1MonthOption</formula>
    </cfRule>
  </conditionalFormatting>
  <conditionalFormatting sqref="C193:F193">
    <cfRule type="expression" dxfId="79" priority="212">
      <formula>MONTH(C193)&lt;&gt;Calendar1MonthOption</formula>
    </cfRule>
  </conditionalFormatting>
  <conditionalFormatting sqref="C76:G76 D77:F78">
    <cfRule type="expression" dxfId="78" priority="44">
      <formula>MONTH(C76)&lt;&gt;Calendar1MonthOption</formula>
    </cfRule>
  </conditionalFormatting>
  <conditionalFormatting sqref="C234:G234">
    <cfRule type="expression" dxfId="77" priority="3">
      <formula>MONTH(C234)&lt;&gt;Calendar1MonthOption</formula>
    </cfRule>
  </conditionalFormatting>
  <conditionalFormatting sqref="D53">
    <cfRule type="expression" dxfId="76" priority="47">
      <formula>MONTH(D53)&lt;&gt;Calendar1MonthOption</formula>
    </cfRule>
  </conditionalFormatting>
  <conditionalFormatting sqref="D59">
    <cfRule type="expression" dxfId="75" priority="464">
      <formula>MONTH(D59)&lt;&gt;Calendar1MonthOption</formula>
    </cfRule>
  </conditionalFormatting>
  <conditionalFormatting sqref="D80">
    <cfRule type="expression" dxfId="74" priority="88">
      <formula>MONTH(D80)&lt;&gt;Calendar1MonthOption</formula>
    </cfRule>
  </conditionalFormatting>
  <conditionalFormatting sqref="D98:D100">
    <cfRule type="expression" dxfId="73" priority="276">
      <formula>MONTH(D98)&lt;&gt;Calendar1MonthOption</formula>
    </cfRule>
  </conditionalFormatting>
  <conditionalFormatting sqref="D119">
    <cfRule type="expression" dxfId="72" priority="40">
      <formula>MONTH(D119)&lt;&gt;Calendar1MonthOption</formula>
    </cfRule>
  </conditionalFormatting>
  <conditionalFormatting sqref="D126:D127">
    <cfRule type="expression" dxfId="71" priority="263">
      <formula>MONTH(D126)&lt;&gt;Calendar1MonthOption</formula>
    </cfRule>
  </conditionalFormatting>
  <conditionalFormatting sqref="D132:D133">
    <cfRule type="expression" dxfId="70" priority="259">
      <formula>MONTH(D132)&lt;&gt;Calendar1MonthOption</formula>
    </cfRule>
  </conditionalFormatting>
  <conditionalFormatting sqref="D136">
    <cfRule type="expression" dxfId="69" priority="38">
      <formula>MONTH(D136)&lt;&gt;Calendar1MonthOption</formula>
    </cfRule>
  </conditionalFormatting>
  <conditionalFormatting sqref="D151">
    <cfRule type="expression" dxfId="68" priority="10">
      <formula>MONTH(D151)&lt;&gt;Calendar1MonthOption</formula>
    </cfRule>
  </conditionalFormatting>
  <conditionalFormatting sqref="D207:D209">
    <cfRule type="expression" dxfId="67" priority="143">
      <formula>MONTH(D207)&lt;&gt;Calendar1MonthOption</formula>
    </cfRule>
  </conditionalFormatting>
  <conditionalFormatting sqref="D211">
    <cfRule type="expression" dxfId="66" priority="147">
      <formula>MONTH(D211)&lt;&gt;Calendar1MonthOption</formula>
    </cfRule>
  </conditionalFormatting>
  <conditionalFormatting sqref="D225:D226">
    <cfRule type="expression" dxfId="65" priority="22">
      <formula>MONTH(D225)&lt;&gt;Calendar1MonthOption</formula>
    </cfRule>
  </conditionalFormatting>
  <conditionalFormatting sqref="D231">
    <cfRule type="expression" dxfId="64" priority="4">
      <formula>MONTH(D231)&lt;&gt;Calendar1MonthOption</formula>
    </cfRule>
  </conditionalFormatting>
  <conditionalFormatting sqref="D34:E34">
    <cfRule type="expression" dxfId="63" priority="49">
      <formula>MONTH(D34)&lt;&gt;Calendar1MonthOption</formula>
    </cfRule>
  </conditionalFormatting>
  <conditionalFormatting sqref="D49:E49">
    <cfRule type="expression" dxfId="62" priority="186">
      <formula>MONTH(D49)&lt;&gt;Calendar1MonthOption</formula>
    </cfRule>
  </conditionalFormatting>
  <conditionalFormatting sqref="D148:E149">
    <cfRule type="expression" dxfId="61" priority="102">
      <formula>MONTH(D148)&lt;&gt;Calendar1MonthOption</formula>
    </cfRule>
  </conditionalFormatting>
  <conditionalFormatting sqref="D196:E196">
    <cfRule type="expression" dxfId="60" priority="210">
      <formula>MONTH(D196)&lt;&gt;Calendar1MonthOption</formula>
    </cfRule>
  </conditionalFormatting>
  <conditionalFormatting sqref="D228:E228">
    <cfRule type="expression" dxfId="59" priority="25">
      <formula>MONTH(D228)&lt;&gt;Calendar1MonthOption</formula>
    </cfRule>
  </conditionalFormatting>
  <conditionalFormatting sqref="D67:F67">
    <cfRule type="expression" dxfId="58" priority="74">
      <formula>MONTH(D67)&lt;&gt;Calendar1MonthOption</formula>
    </cfRule>
  </conditionalFormatting>
  <conditionalFormatting sqref="D86:F87">
    <cfRule type="expression" dxfId="57" priority="78">
      <formula>MONTH(D86)&lt;&gt;Calendar1MonthOption</formula>
    </cfRule>
  </conditionalFormatting>
  <conditionalFormatting sqref="D112:F113">
    <cfRule type="expression" dxfId="56" priority="12">
      <formula>MONTH(D112)&lt;&gt;Calendar1MonthOption</formula>
    </cfRule>
  </conditionalFormatting>
  <conditionalFormatting sqref="E60">
    <cfRule type="expression" dxfId="55" priority="46">
      <formula>MONTH(E60)&lt;&gt;Calendar1MonthOption</formula>
    </cfRule>
  </conditionalFormatting>
  <conditionalFormatting sqref="E68">
    <cfRule type="expression" dxfId="54" priority="45">
      <formula>MONTH(E68)&lt;&gt;Calendar1MonthOption</formula>
    </cfRule>
  </conditionalFormatting>
  <conditionalFormatting sqref="E108:E110">
    <cfRule type="expression" dxfId="53" priority="264">
      <formula>MONTH(E108)&lt;&gt;Calendar1MonthOption</formula>
    </cfRule>
  </conditionalFormatting>
  <conditionalFormatting sqref="E115">
    <cfRule type="expression" dxfId="52" priority="271">
      <formula>MONTH(E115)&lt;&gt;Calendar1MonthOption</formula>
    </cfRule>
  </conditionalFormatting>
  <conditionalFormatting sqref="E130">
    <cfRule type="expression" dxfId="51" priority="39">
      <formula>MONTH(E130)&lt;&gt;Calendar1MonthOption</formula>
    </cfRule>
  </conditionalFormatting>
  <conditionalFormatting sqref="E132">
    <cfRule type="expression" dxfId="50" priority="197">
      <formula>MONTH(E132)&lt;&gt;Calendar1MonthOption</formula>
    </cfRule>
  </conditionalFormatting>
  <conditionalFormatting sqref="E154">
    <cfRule type="expression" dxfId="49" priority="249">
      <formula>MONTH(E154)&lt;&gt;Calendar1MonthOption</formula>
    </cfRule>
  </conditionalFormatting>
  <conditionalFormatting sqref="E158">
    <cfRule type="expression" dxfId="48" priority="36">
      <formula>MONTH(E158)&lt;&gt;Calendar1MonthOption</formula>
    </cfRule>
  </conditionalFormatting>
  <conditionalFormatting sqref="E168">
    <cfRule type="expression" dxfId="47" priority="35">
      <formula>MONTH(E168)&lt;&gt;Calendar1MonthOption</formula>
    </cfRule>
  </conditionalFormatting>
  <conditionalFormatting sqref="E176">
    <cfRule type="expression" dxfId="46" priority="205">
      <formula>MONTH(E176)&lt;&gt;Calendar1MonthOption</formula>
    </cfRule>
  </conditionalFormatting>
  <conditionalFormatting sqref="E217:E219">
    <cfRule type="expression" dxfId="45" priority="149">
      <formula>MONTH(E217)&lt;&gt;Calendar1MonthOption</formula>
    </cfRule>
  </conditionalFormatting>
  <conditionalFormatting sqref="E37:F38">
    <cfRule type="expression" dxfId="44" priority="71">
      <formula>MONTH(E37)&lt;&gt;Calendar1MonthOption</formula>
    </cfRule>
  </conditionalFormatting>
  <conditionalFormatting sqref="E93:F93">
    <cfRule type="expression" dxfId="43" priority="107">
      <formula>MONTH(E93)&lt;&gt;Calendar1MonthOption</formula>
    </cfRule>
  </conditionalFormatting>
  <conditionalFormatting sqref="E98:F98">
    <cfRule type="expression" dxfId="42" priority="190">
      <formula>MONTH(E98)&lt;&gt;Calendar1MonthOption</formula>
    </cfRule>
  </conditionalFormatting>
  <conditionalFormatting sqref="E119:F120">
    <cfRule type="expression" dxfId="41" priority="274">
      <formula>MONTH(E119)&lt;&gt;Calendar1MonthOption</formula>
    </cfRule>
  </conditionalFormatting>
  <conditionalFormatting sqref="E135:F136">
    <cfRule type="expression" dxfId="40" priority="364">
      <formula>MONTH(E135)&lt;&gt;Calendar1MonthOption</formula>
    </cfRule>
  </conditionalFormatting>
  <conditionalFormatting sqref="E145:F146">
    <cfRule type="expression" dxfId="39" priority="157">
      <formula>MONTH(E145)&lt;&gt;Calendar1MonthOption</formula>
    </cfRule>
  </conditionalFormatting>
  <conditionalFormatting sqref="E151:F152">
    <cfRule type="expression" dxfId="38" priority="37">
      <formula>MONTH(E151)&lt;&gt;Calendar1MonthOption</formula>
    </cfRule>
  </conditionalFormatting>
  <conditionalFormatting sqref="E157:F157">
    <cfRule type="expression" dxfId="37" priority="200">
      <formula>MONTH(E157)&lt;&gt;Calendar1MonthOption</formula>
    </cfRule>
  </conditionalFormatting>
  <conditionalFormatting sqref="E194:F194">
    <cfRule type="expression" dxfId="36" priority="32">
      <formula>MONTH(E194)&lt;&gt;Calendar1MonthOption</formula>
    </cfRule>
  </conditionalFormatting>
  <conditionalFormatting sqref="E207:F208">
    <cfRule type="expression" dxfId="35" priority="31">
      <formula>MONTH(E207)&lt;&gt;Calendar1MonthOption</formula>
    </cfRule>
  </conditionalFormatting>
  <conditionalFormatting sqref="E225:F225">
    <cfRule type="expression" dxfId="34" priority="21">
      <formula>MONTH(E225)&lt;&gt;Calendar1MonthOption</formula>
    </cfRule>
  </conditionalFormatting>
  <conditionalFormatting sqref="F4">
    <cfRule type="expression" dxfId="33" priority="65">
      <formula>MONTH(F4)&lt;&gt;Calendar1MonthOption</formula>
    </cfRule>
  </conditionalFormatting>
  <conditionalFormatting sqref="F8">
    <cfRule type="expression" dxfId="32" priority="66">
      <formula>MONTH(F8)&lt;&gt;Calendar1MonthOption</formula>
    </cfRule>
  </conditionalFormatting>
  <conditionalFormatting sqref="F12">
    <cfRule type="expression" dxfId="31" priority="67">
      <formula>MONTH(F12)&lt;&gt;Calendar1MonthOption</formula>
    </cfRule>
  </conditionalFormatting>
  <conditionalFormatting sqref="F18">
    <cfRule type="expression" dxfId="30" priority="515">
      <formula>MONTH(F18)&lt;&gt;Calendar1MonthOption</formula>
    </cfRule>
  </conditionalFormatting>
  <conditionalFormatting sqref="F27:F28">
    <cfRule type="expression" dxfId="29" priority="514">
      <formula>MONTH(F27)&lt;&gt;Calendar1MonthOption</formula>
    </cfRule>
  </conditionalFormatting>
  <conditionalFormatting sqref="F30:F31">
    <cfRule type="expression" dxfId="28" priority="70">
      <formula>MONTH(F30)&lt;&gt;Calendar1MonthOption</formula>
    </cfRule>
  </conditionalFormatting>
  <conditionalFormatting sqref="F33:F34">
    <cfRule type="expression" dxfId="27" priority="69">
      <formula>MONTH(F33)&lt;&gt;Calendar1MonthOption</formula>
    </cfRule>
  </conditionalFormatting>
  <conditionalFormatting sqref="F49:F50">
    <cfRule type="expression" dxfId="26" priority="73">
      <formula>MONTH(F49)&lt;&gt;Calendar1MonthOption</formula>
    </cfRule>
  </conditionalFormatting>
  <conditionalFormatting sqref="F52:F54">
    <cfRule type="expression" dxfId="25" priority="490">
      <formula>MONTH(F52)&lt;&gt;Calendar1MonthOption</formula>
    </cfRule>
  </conditionalFormatting>
  <conditionalFormatting sqref="F70:F71">
    <cfRule type="expression" dxfId="24" priority="75">
      <formula>MONTH(F70)&lt;&gt;Calendar1MonthOption</formula>
    </cfRule>
  </conditionalFormatting>
  <conditionalFormatting sqref="F73:F74 E74">
    <cfRule type="expression" dxfId="23" priority="377">
      <formula>MONTH(E73)&lt;&gt;Calendar1MonthOption</formula>
    </cfRule>
  </conditionalFormatting>
  <conditionalFormatting sqref="F89:F90">
    <cfRule type="expression" dxfId="22" priority="43">
      <formula>MONTH(F89)&lt;&gt;Calendar1MonthOption</formula>
    </cfRule>
  </conditionalFormatting>
  <conditionalFormatting sqref="F95:F96">
    <cfRule type="expression" dxfId="21" priority="42">
      <formula>MONTH(F95)&lt;&gt;Calendar1MonthOption</formula>
    </cfRule>
  </conditionalFormatting>
  <conditionalFormatting sqref="F108:F109">
    <cfRule type="expression" dxfId="20" priority="81">
      <formula>MONTH(F108)&lt;&gt;Calendar1MonthOption</formula>
    </cfRule>
  </conditionalFormatting>
  <conditionalFormatting sqref="F115:F116">
    <cfRule type="expression" dxfId="19" priority="82">
      <formula>MONTH(F115)&lt;&gt;Calendar1MonthOption</formula>
    </cfRule>
  </conditionalFormatting>
  <conditionalFormatting sqref="F126:F127">
    <cfRule type="expression" dxfId="18" priority="84">
      <formula>MONTH(F126)&lt;&gt;Calendar1MonthOption</formula>
    </cfRule>
  </conditionalFormatting>
  <conditionalFormatting sqref="F129:F130">
    <cfRule type="expression" dxfId="17" priority="85">
      <formula>MONTH(F129)&lt;&gt;Calendar1MonthOption</formula>
    </cfRule>
  </conditionalFormatting>
  <conditionalFormatting sqref="F132:F133">
    <cfRule type="expression" dxfId="16" priority="86">
      <formula>MONTH(F132)&lt;&gt;Calendar1MonthOption</formula>
    </cfRule>
  </conditionalFormatting>
  <conditionalFormatting sqref="F149">
    <cfRule type="expression" dxfId="15" priority="101">
      <formula>MONTH(F149)&lt;&gt;Calendar8MonthOption</formula>
    </cfRule>
  </conditionalFormatting>
  <conditionalFormatting sqref="F154:F155">
    <cfRule type="expression" dxfId="14" priority="63">
      <formula>MONTH(F154)&lt;&gt;Calendar1MonthOption</formula>
    </cfRule>
  </conditionalFormatting>
  <conditionalFormatting sqref="F167:F168">
    <cfRule type="expression" dxfId="13" priority="62">
      <formula>MONTH(F167)&lt;&gt;Calendar1MonthOption</formula>
    </cfRule>
  </conditionalFormatting>
  <conditionalFormatting sqref="F170:F171">
    <cfRule type="expression" dxfId="12" priority="61">
      <formula>MONTH(F170)&lt;&gt;Calendar1MonthOption</formula>
    </cfRule>
  </conditionalFormatting>
  <conditionalFormatting sqref="F177:F178">
    <cfRule type="expression" dxfId="11" priority="59">
      <formula>MONTH(F177)&lt;&gt;Calendar1MonthOption</formula>
    </cfRule>
  </conditionalFormatting>
  <conditionalFormatting sqref="F183:F185">
    <cfRule type="expression" dxfId="10" priority="58">
      <formula>MONTH(F183)&lt;&gt;Calendar1MonthOption</formula>
    </cfRule>
  </conditionalFormatting>
  <conditionalFormatting sqref="F190:F191">
    <cfRule type="expression" dxfId="9" priority="353">
      <formula>MONTH(F190)&lt;&gt;Calendar1MonthOption</formula>
    </cfRule>
  </conditionalFormatting>
  <conditionalFormatting sqref="F214:F215">
    <cfRule type="expression" dxfId="8" priority="30">
      <formula>MONTH(F214)&lt;&gt;Calendar1MonthOption</formula>
    </cfRule>
  </conditionalFormatting>
  <conditionalFormatting sqref="F217:F218">
    <cfRule type="expression" dxfId="7" priority="347">
      <formula>MONTH(F217)&lt;&gt;Calendar1MonthOption</formula>
    </cfRule>
  </conditionalFormatting>
  <conditionalFormatting sqref="F228:F229">
    <cfRule type="expression" dxfId="6" priority="346">
      <formula>MONTH(F228)&lt;&gt;Calendar1MonthOption</formula>
    </cfRule>
  </conditionalFormatting>
  <conditionalFormatting sqref="G56">
    <cfRule type="expression" dxfId="5" priority="20">
      <formula>MONTH(G56)&lt;&gt;Calendar1MonthOption</formula>
    </cfRule>
  </conditionalFormatting>
  <conditionalFormatting sqref="G20:H21 D21:E21">
    <cfRule type="expression" dxfId="4" priority="166">
      <formula>MONTH(D20)&lt;&gt;Calendar1MonthOption</formula>
    </cfRule>
  </conditionalFormatting>
  <conditionalFormatting sqref="G59:H59">
    <cfRule type="expression" dxfId="3" priority="113">
      <formula>MONTH(G59)&lt;&gt;Calendar1MonthOption</formula>
    </cfRule>
  </conditionalFormatting>
  <conditionalFormatting sqref="H66">
    <cfRule type="expression" dxfId="2" priority="18">
      <formula>MONTH(H66)&lt;&gt;Calendar1MonthOption</formula>
    </cfRule>
  </conditionalFormatting>
  <conditionalFormatting sqref="H89">
    <cfRule type="expression" dxfId="1" priority="13">
      <formula>MONTH(H89)&lt;&gt;Calendar1MonthOption</formula>
    </cfRule>
  </conditionalFormatting>
  <conditionalFormatting sqref="H148">
    <cfRule type="expression" dxfId="0" priority="100">
      <formula>MONTH(H148)&lt;&gt;Calendar1MonthOption</formula>
    </cfRule>
  </conditionalFormatting>
  <dataValidations xWindow="261" yWindow="449" count="13">
    <dataValidation type="list" errorStyle="warning" allowBlank="1" showInputMessage="1" showErrorMessage="1" error="Select the week start day from the list. Select CANCEL,press ALT+DOWN ARROW for options, then DOWN ARROW and ENTER to make selection" prompt="Select the week start day in this cell. Press ALT+DOWN ARROW to open the drop-down list, then ENTER to make the selection. The calendar will update automatically" sqref="B2" xr:uid="{00000000-0002-0000-0100-000000000000}">
      <formula1>"SUNDAY,MONDAY,TUESDAY,WEDNESDAY,THURSDAY,FRIDAY,SATURDAY"</formula1>
    </dataValidation>
    <dataValidation type="list" errorStyle="warning" allowBlank="1" showInputMessage="1" showErrorMessage="1" error="Select calendar start month from the list. Select CANCEL, press ALT+DOWN ARROW for options, then DOWN ARROW and ENTER to make selection" prompt="Select calendar start month in this cell. Press ALT+DOWN ARROW to open the drop-down list, then ENTER to make the selection" sqref="C1:E1" xr:uid="{00000000-0002-0000-0100-000001000000}">
      <formula1>"January,February,March,April,May,June,July,August,September,October,November,December"</formula1>
    </dataValidation>
    <dataValidation allowBlank="1" showInputMessage="1" prompt="This workbook is a 12-month calendar. Enter starting year in cell B1, then select the starting month in cell C1. The calendar will update automatically for subsequent months" sqref="A1" xr:uid="{00000000-0002-0000-0100-000002000000}"/>
    <dataValidation allowBlank="1" showInputMessage="1" showErrorMessage="1" prompt="Enter year in this cell" sqref="B1" xr:uid="{00000000-0002-0000-0100-000003000000}"/>
    <dataValidation allowBlank="1" showInputMessage="1" prompt="Automatically determined weekday. To change weekdays, select a new week start day in cell B2" sqref="C2:H2 B25" xr:uid="{00000000-0002-0000-0100-000004000000}"/>
    <dataValidation allowBlank="1" showInputMessage="1" prompt="Date" sqref="B36 B8 B12 B16 B40 B30 B33 B3:B4 B46 B49 B52 B56:C56 C71 B73 B99 C81 B89 B92 B95 B105 B217 B112 B115 B126 B129 B132 B135 B145 B148 C152 B108 B67:C67 B167 B170 B173 B187 B190 B193 B196:B197 B59 B154 B214 B207 B228 B231 B238 B184:B185 B118 B77:C77 B157 B211 C236 B20 C116 B164 B225 B235 E4 C113 H112 G132" xr:uid="{00000000-0002-0000-0100-000005000000}"/>
    <dataValidation allowBlank="1" showInputMessage="1" prompt="Enter daily notes here" sqref="B6" xr:uid="{00000000-0002-0000-0100-000006000000}"/>
    <dataValidation allowBlank="1" showInputMessage="1" prompt="Calendar year is automatically updated based on the year selected in cell B1" sqref="B24" xr:uid="{00000000-0002-0000-0100-000007000000}"/>
    <dataValidation allowBlank="1" showInputMessage="1" prompt="Calendar month is automatically updated based on the month selected in cell C1" sqref="C24:E24" xr:uid="{00000000-0002-0000-0100-000008000000}"/>
    <dataValidation allowBlank="1" showInputMessage="1" prompt="Enter monthly Notes in this cell" sqref="D23:H23" xr:uid="{00000000-0002-0000-0100-00000A000000}"/>
    <dataValidation allowBlank="1" showInputMessage="1" showErrorMessage="1" prompt="Calendar year is automatically updated based on the year selected in cell B1" sqref="B43 B63 B83 B102 B123 B142 B161 B180 B201 B222" xr:uid="{00000000-0002-0000-0100-00000B000000}"/>
    <dataValidation allowBlank="1" showInputMessage="1" showErrorMessage="1" prompt="Calendar month is automatically updated based on the month selected in cell C1" sqref="C201:E201 C43:E43 C63:E63 C83:E83 C102:E102 C123:E123 C142:E142 C161:E161 C180:E180 C222:E222" xr:uid="{00000000-0002-0000-0100-00000C000000}"/>
    <dataValidation allowBlank="1" showInputMessage="1" showErrorMessage="1" prompt="Automatically determined weekday. To change weekdays, select a new week start day in cell B2" sqref="C25:H25 B44:H44 B64:H64 B84:H84 B103:H103 B124:H124 B143:H143 B162:H162 B181:H181 B202:H202 B223:H223" xr:uid="{00000000-0002-0000-0100-00000D000000}"/>
  </dataValidations>
  <printOptions horizontalCentered="1" verticalCentered="1"/>
  <pageMargins left="0.25" right="0.25" top="0.45" bottom="0.45" header="0.5" footer="0.5"/>
  <pageSetup fitToHeight="0" orientation="landscape" r:id="rId1"/>
  <headerFooter alignWithMargins="0"/>
  <rowBreaks count="11" manualBreakCount="11">
    <brk id="23" min="1" max="8" man="1"/>
    <brk id="42" min="1" max="8" man="1"/>
    <brk id="62" min="1" max="8" man="1"/>
    <brk id="82" min="1" max="8" man="1"/>
    <brk id="101" min="1" max="8" man="1"/>
    <brk id="122" min="1" max="8" man="1"/>
    <brk id="141" min="1" max="8" man="1"/>
    <brk id="160" min="1" max="8" man="1"/>
    <brk id="179" min="1" max="8" man="1"/>
    <brk id="200" min="1" max="8" man="1"/>
    <brk id="221" min="1" max="8"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89"/>
  <sheetViews>
    <sheetView topLeftCell="A18" workbookViewId="0">
      <selection activeCell="E77" sqref="E77"/>
    </sheetView>
  </sheetViews>
  <sheetFormatPr defaultRowHeight="16.5" x14ac:dyDescent="0.3"/>
  <cols>
    <col min="1" max="1" width="5.75" customWidth="1"/>
    <col min="2" max="2" width="12.25" customWidth="1"/>
    <col min="3" max="3" width="13.875" customWidth="1"/>
    <col min="4" max="4" width="18.625" customWidth="1"/>
    <col min="5" max="5" width="13.625" customWidth="1"/>
    <col min="6" max="6" width="36.5" customWidth="1"/>
    <col min="7" max="7" width="6.25" customWidth="1"/>
    <col min="8" max="8" width="10.25" customWidth="1"/>
    <col min="9" max="9" width="5" bestFit="1" customWidth="1"/>
    <col min="10" max="10" width="8.75" customWidth="1"/>
    <col min="11" max="22" width="4.875" bestFit="1" customWidth="1"/>
    <col min="30" max="30" width="7.75" customWidth="1"/>
  </cols>
  <sheetData>
    <row r="1" spans="1:22" ht="79.150000000000006" customHeight="1" x14ac:dyDescent="0.3">
      <c r="A1" s="153" t="s">
        <v>313</v>
      </c>
      <c r="B1" s="154"/>
      <c r="C1" s="154"/>
      <c r="D1" s="154"/>
      <c r="E1" s="154"/>
      <c r="F1" s="154"/>
      <c r="G1" s="154"/>
      <c r="H1" s="154"/>
      <c r="I1" s="154"/>
      <c r="J1" s="154"/>
      <c r="K1" s="154"/>
      <c r="L1" s="154"/>
      <c r="M1" s="154"/>
      <c r="N1" s="154"/>
      <c r="O1" s="154"/>
      <c r="P1" s="154"/>
      <c r="Q1" s="154"/>
      <c r="R1" s="154"/>
      <c r="S1" s="154"/>
      <c r="T1" s="154"/>
      <c r="U1" s="154"/>
      <c r="V1" s="154"/>
    </row>
    <row r="2" spans="1:22" ht="54.75" x14ac:dyDescent="0.3">
      <c r="A2" s="40" t="s">
        <v>36</v>
      </c>
      <c r="B2" s="41" t="s">
        <v>37</v>
      </c>
      <c r="C2" s="41" t="s">
        <v>38</v>
      </c>
      <c r="D2" s="42" t="s">
        <v>39</v>
      </c>
      <c r="E2" s="42" t="s">
        <v>40</v>
      </c>
      <c r="F2" s="42" t="s">
        <v>41</v>
      </c>
      <c r="G2" s="40" t="s">
        <v>42</v>
      </c>
      <c r="H2" s="40" t="s">
        <v>43</v>
      </c>
      <c r="I2" s="40" t="s">
        <v>44</v>
      </c>
      <c r="J2" s="42" t="s">
        <v>45</v>
      </c>
      <c r="K2" s="42" t="s">
        <v>314</v>
      </c>
      <c r="L2" s="42" t="s">
        <v>315</v>
      </c>
      <c r="M2" s="42" t="s">
        <v>316</v>
      </c>
      <c r="N2" s="42" t="s">
        <v>317</v>
      </c>
      <c r="O2" s="42" t="s">
        <v>318</v>
      </c>
      <c r="P2" s="42" t="s">
        <v>319</v>
      </c>
      <c r="Q2" s="42" t="s">
        <v>320</v>
      </c>
      <c r="R2" s="42" t="s">
        <v>321</v>
      </c>
      <c r="S2" s="42" t="s">
        <v>322</v>
      </c>
      <c r="T2" s="42" t="s">
        <v>323</v>
      </c>
      <c r="U2" s="42" t="s">
        <v>324</v>
      </c>
      <c r="V2" s="42" t="s">
        <v>325</v>
      </c>
    </row>
    <row r="3" spans="1:22" x14ac:dyDescent="0.3">
      <c r="A3" s="43"/>
      <c r="B3" s="16"/>
      <c r="C3" s="17" t="s">
        <v>58</v>
      </c>
      <c r="D3" s="44"/>
      <c r="E3" s="44"/>
      <c r="F3" s="44"/>
      <c r="G3" s="18"/>
      <c r="H3" s="19"/>
      <c r="I3" s="19"/>
      <c r="J3" s="19"/>
      <c r="K3" s="20"/>
      <c r="L3" s="20"/>
      <c r="M3" s="20"/>
      <c r="N3" s="20"/>
      <c r="O3" s="45"/>
      <c r="P3" s="45"/>
      <c r="Q3" s="45"/>
      <c r="R3" s="21"/>
      <c r="S3" s="45"/>
      <c r="T3" s="44"/>
      <c r="U3" s="46"/>
      <c r="V3" s="46"/>
    </row>
    <row r="4" spans="1:22" ht="135" x14ac:dyDescent="0.3">
      <c r="A4" s="47">
        <v>1</v>
      </c>
      <c r="B4" s="48" t="s">
        <v>59</v>
      </c>
      <c r="C4" s="48" t="s">
        <v>60</v>
      </c>
      <c r="D4" s="48" t="s">
        <v>61</v>
      </c>
      <c r="E4" s="49" t="s">
        <v>62</v>
      </c>
      <c r="F4" s="49" t="s">
        <v>63</v>
      </c>
      <c r="G4" s="47">
        <v>99</v>
      </c>
      <c r="H4" s="47" t="s">
        <v>64</v>
      </c>
      <c r="I4" s="47">
        <v>2</v>
      </c>
      <c r="J4" s="22">
        <f>IF(I4=0.5,G4,I4*G4)</f>
        <v>198</v>
      </c>
      <c r="K4" s="50">
        <v>0</v>
      </c>
      <c r="L4" s="50"/>
      <c r="M4" s="50"/>
      <c r="N4" s="50">
        <v>33</v>
      </c>
      <c r="O4" s="50">
        <v>33</v>
      </c>
      <c r="P4" s="51">
        <v>33</v>
      </c>
      <c r="Q4" s="50"/>
      <c r="R4" s="50"/>
      <c r="S4" s="50"/>
      <c r="T4" s="50">
        <v>33</v>
      </c>
      <c r="U4" s="50">
        <v>33</v>
      </c>
      <c r="V4" s="51">
        <v>33</v>
      </c>
    </row>
    <row r="5" spans="1:22" ht="120" x14ac:dyDescent="0.3">
      <c r="A5" s="47">
        <v>2</v>
      </c>
      <c r="B5" s="48" t="s">
        <v>59</v>
      </c>
      <c r="C5" s="48" t="s">
        <v>60</v>
      </c>
      <c r="D5" s="48" t="s">
        <v>61</v>
      </c>
      <c r="E5" s="49" t="s">
        <v>65</v>
      </c>
      <c r="F5" s="49" t="s">
        <v>66</v>
      </c>
      <c r="G5" s="47">
        <v>99</v>
      </c>
      <c r="H5" s="47" t="s">
        <v>64</v>
      </c>
      <c r="I5" s="47">
        <v>1</v>
      </c>
      <c r="J5" s="22">
        <f>IF(I5=0.5,G5,I5*G5)</f>
        <v>99</v>
      </c>
      <c r="K5" s="50">
        <v>0</v>
      </c>
      <c r="L5" s="50">
        <v>0</v>
      </c>
      <c r="M5" s="50">
        <v>0</v>
      </c>
      <c r="N5" s="50">
        <v>0</v>
      </c>
      <c r="O5" s="50">
        <v>0</v>
      </c>
      <c r="P5" s="50">
        <v>0</v>
      </c>
      <c r="Q5" s="50">
        <v>0</v>
      </c>
      <c r="R5" s="50">
        <v>0</v>
      </c>
      <c r="S5" s="50">
        <v>0</v>
      </c>
      <c r="T5" s="51">
        <v>99</v>
      </c>
      <c r="U5" s="50">
        <v>0</v>
      </c>
      <c r="V5" s="50">
        <v>0</v>
      </c>
    </row>
    <row r="6" spans="1:22" ht="45" x14ac:dyDescent="0.3">
      <c r="A6" s="47">
        <v>3</v>
      </c>
      <c r="B6" s="48" t="s">
        <v>59</v>
      </c>
      <c r="C6" s="48" t="s">
        <v>60</v>
      </c>
      <c r="D6" s="48" t="s">
        <v>61</v>
      </c>
      <c r="E6" s="49" t="s">
        <v>67</v>
      </c>
      <c r="F6" s="49" t="s">
        <v>68</v>
      </c>
      <c r="G6" s="47">
        <v>108</v>
      </c>
      <c r="H6" s="47" t="s">
        <v>69</v>
      </c>
      <c r="I6" s="47">
        <v>1</v>
      </c>
      <c r="J6" s="22">
        <v>108</v>
      </c>
      <c r="K6" s="50">
        <v>0</v>
      </c>
      <c r="L6" s="50">
        <v>0</v>
      </c>
      <c r="M6" s="50">
        <v>0</v>
      </c>
      <c r="N6" s="50">
        <v>0</v>
      </c>
      <c r="O6" s="50">
        <v>0</v>
      </c>
      <c r="P6" s="50">
        <v>0</v>
      </c>
      <c r="Q6" s="50">
        <v>0</v>
      </c>
      <c r="R6" s="50">
        <v>0</v>
      </c>
      <c r="S6" s="50">
        <v>0</v>
      </c>
      <c r="T6" s="50">
        <v>0</v>
      </c>
      <c r="U6" s="51">
        <v>108</v>
      </c>
      <c r="V6" s="50">
        <v>0</v>
      </c>
    </row>
    <row r="7" spans="1:22" ht="30" x14ac:dyDescent="0.3">
      <c r="A7" s="47">
        <v>4</v>
      </c>
      <c r="B7" s="48" t="s">
        <v>59</v>
      </c>
      <c r="C7" s="48" t="s">
        <v>60</v>
      </c>
      <c r="D7" s="48" t="s">
        <v>61</v>
      </c>
      <c r="E7" s="49" t="s">
        <v>70</v>
      </c>
      <c r="F7" s="49" t="s">
        <v>71</v>
      </c>
      <c r="G7" s="47">
        <v>10</v>
      </c>
      <c r="H7" s="47" t="s">
        <v>72</v>
      </c>
      <c r="I7" s="47">
        <v>1</v>
      </c>
      <c r="J7" s="22">
        <f>IF(I7=0.5,G7,I7*G7)</f>
        <v>10</v>
      </c>
      <c r="K7" s="50">
        <v>0</v>
      </c>
      <c r="L7" s="50">
        <v>0</v>
      </c>
      <c r="M7" s="50">
        <v>0</v>
      </c>
      <c r="N7" s="50">
        <v>0</v>
      </c>
      <c r="O7" s="50">
        <v>0</v>
      </c>
      <c r="P7" s="50">
        <v>0</v>
      </c>
      <c r="Q7" s="50">
        <v>0</v>
      </c>
      <c r="R7" s="50">
        <v>0</v>
      </c>
      <c r="S7" s="50">
        <v>0</v>
      </c>
      <c r="T7" s="50">
        <v>0</v>
      </c>
      <c r="U7" s="51">
        <v>10</v>
      </c>
      <c r="V7" s="50">
        <v>0</v>
      </c>
    </row>
    <row r="8" spans="1:22" ht="30" x14ac:dyDescent="0.3">
      <c r="A8" s="47">
        <v>5</v>
      </c>
      <c r="B8" s="48" t="s">
        <v>59</v>
      </c>
      <c r="C8" s="48" t="s">
        <v>60</v>
      </c>
      <c r="D8" s="48" t="s">
        <v>61</v>
      </c>
      <c r="E8" s="49" t="s">
        <v>73</v>
      </c>
      <c r="F8" s="49" t="s">
        <v>74</v>
      </c>
      <c r="G8" s="47">
        <v>99</v>
      </c>
      <c r="H8" s="47" t="s">
        <v>64</v>
      </c>
      <c r="I8" s="52" t="s">
        <v>75</v>
      </c>
      <c r="J8" s="22">
        <v>99</v>
      </c>
      <c r="K8" s="50">
        <v>0</v>
      </c>
      <c r="L8" s="50">
        <v>0</v>
      </c>
      <c r="M8" s="50">
        <v>0</v>
      </c>
      <c r="N8" s="50">
        <v>0</v>
      </c>
      <c r="O8" s="51">
        <v>99</v>
      </c>
      <c r="P8" s="51">
        <v>0</v>
      </c>
      <c r="Q8" s="51">
        <v>0</v>
      </c>
      <c r="R8" s="51">
        <v>0</v>
      </c>
      <c r="S8" s="51">
        <v>99</v>
      </c>
      <c r="T8" s="50">
        <v>0</v>
      </c>
      <c r="U8" s="50">
        <v>0</v>
      </c>
      <c r="V8" s="50">
        <v>0</v>
      </c>
    </row>
    <row r="9" spans="1:22" x14ac:dyDescent="0.3">
      <c r="A9" s="43"/>
      <c r="B9" s="16"/>
      <c r="C9" s="17" t="s">
        <v>76</v>
      </c>
      <c r="D9" s="44"/>
      <c r="E9" s="23"/>
      <c r="F9" s="23"/>
      <c r="G9" s="23"/>
      <c r="H9" s="23"/>
      <c r="I9" s="23"/>
      <c r="J9" s="23"/>
      <c r="K9" s="23"/>
      <c r="L9" s="23"/>
      <c r="M9" s="23"/>
      <c r="N9" s="23"/>
      <c r="O9" s="53"/>
      <c r="P9" s="53"/>
      <c r="Q9" s="53"/>
      <c r="R9" s="24"/>
      <c r="S9" s="53"/>
      <c r="T9" s="54"/>
      <c r="U9" s="54"/>
      <c r="V9" s="21"/>
    </row>
    <row r="10" spans="1:22" ht="60" x14ac:dyDescent="0.3">
      <c r="A10" s="47">
        <v>6</v>
      </c>
      <c r="B10" s="55" t="s">
        <v>77</v>
      </c>
      <c r="C10" s="49" t="s">
        <v>60</v>
      </c>
      <c r="D10" s="49" t="s">
        <v>78</v>
      </c>
      <c r="E10" s="49" t="s">
        <v>79</v>
      </c>
      <c r="F10" s="49" t="s">
        <v>80</v>
      </c>
      <c r="G10" s="56">
        <v>99</v>
      </c>
      <c r="H10" s="56" t="s">
        <v>64</v>
      </c>
      <c r="I10" s="47">
        <v>2</v>
      </c>
      <c r="J10" s="22">
        <f>IF(I10=0.5,G10,I10*G10)</f>
        <v>198</v>
      </c>
      <c r="K10" s="50"/>
      <c r="L10" s="50"/>
      <c r="M10" s="50"/>
      <c r="N10" s="50"/>
      <c r="O10" s="50"/>
      <c r="P10" s="50">
        <v>99</v>
      </c>
      <c r="Q10" s="50"/>
      <c r="R10" s="50"/>
      <c r="S10" s="50"/>
      <c r="T10" s="50">
        <v>99</v>
      </c>
      <c r="U10" s="50"/>
      <c r="V10" s="50"/>
    </row>
    <row r="11" spans="1:22" ht="180" x14ac:dyDescent="0.3">
      <c r="A11" s="47">
        <v>7</v>
      </c>
      <c r="B11" s="55" t="s">
        <v>77</v>
      </c>
      <c r="C11" s="49" t="s">
        <v>60</v>
      </c>
      <c r="D11" s="49" t="s">
        <v>78</v>
      </c>
      <c r="E11" s="49" t="s">
        <v>81</v>
      </c>
      <c r="F11" s="49" t="s">
        <v>82</v>
      </c>
      <c r="G11" s="56">
        <v>99</v>
      </c>
      <c r="H11" s="56" t="s">
        <v>64</v>
      </c>
      <c r="I11" s="47">
        <v>1</v>
      </c>
      <c r="J11" s="22">
        <f>IF(I11=0.5,G11,I11*G11)</f>
        <v>99</v>
      </c>
      <c r="K11" s="50">
        <v>0</v>
      </c>
      <c r="L11" s="50">
        <v>0</v>
      </c>
      <c r="M11" s="50">
        <v>0</v>
      </c>
      <c r="N11" s="50">
        <v>0</v>
      </c>
      <c r="O11" s="50">
        <v>33</v>
      </c>
      <c r="P11" s="50">
        <v>33</v>
      </c>
      <c r="Q11" s="51">
        <v>33</v>
      </c>
      <c r="R11" s="50">
        <v>0</v>
      </c>
      <c r="S11" s="50">
        <v>0</v>
      </c>
      <c r="T11" s="50">
        <v>0</v>
      </c>
      <c r="U11" s="50">
        <v>0</v>
      </c>
      <c r="V11" s="50">
        <v>0</v>
      </c>
    </row>
    <row r="12" spans="1:22" x14ac:dyDescent="0.3">
      <c r="A12" s="43"/>
      <c r="B12" s="16"/>
      <c r="C12" s="17" t="s">
        <v>83</v>
      </c>
      <c r="D12" s="44"/>
      <c r="E12" s="23"/>
      <c r="F12" s="23"/>
      <c r="G12" s="23"/>
      <c r="H12" s="23"/>
      <c r="I12" s="23"/>
      <c r="J12" s="23"/>
      <c r="K12" s="23"/>
      <c r="L12" s="23"/>
      <c r="M12" s="23"/>
      <c r="N12" s="23"/>
      <c r="O12" s="53"/>
      <c r="P12" s="53"/>
      <c r="Q12" s="53"/>
      <c r="R12" s="24"/>
      <c r="S12" s="53"/>
      <c r="T12" s="54"/>
      <c r="U12" s="54"/>
      <c r="V12" s="21"/>
    </row>
    <row r="13" spans="1:22" ht="120" x14ac:dyDescent="0.3">
      <c r="A13" s="47">
        <v>8</v>
      </c>
      <c r="B13" s="55" t="s">
        <v>77</v>
      </c>
      <c r="C13" s="49" t="s">
        <v>84</v>
      </c>
      <c r="D13" s="49" t="s">
        <v>85</v>
      </c>
      <c r="E13" s="48" t="s">
        <v>86</v>
      </c>
      <c r="F13" s="49" t="s">
        <v>87</v>
      </c>
      <c r="G13" s="56">
        <v>99</v>
      </c>
      <c r="H13" s="56" t="s">
        <v>64</v>
      </c>
      <c r="I13" s="57">
        <v>2</v>
      </c>
      <c r="J13" s="22">
        <f>IF(I13=0.5,G13,I13*G13)</f>
        <v>198</v>
      </c>
      <c r="K13" s="50">
        <v>0</v>
      </c>
      <c r="L13" s="50">
        <v>0</v>
      </c>
      <c r="M13" s="50">
        <v>0</v>
      </c>
      <c r="N13" s="50">
        <v>33</v>
      </c>
      <c r="O13" s="50">
        <v>33</v>
      </c>
      <c r="P13" s="50">
        <v>33</v>
      </c>
      <c r="Q13" s="50">
        <v>0</v>
      </c>
      <c r="R13" s="50">
        <v>0</v>
      </c>
      <c r="S13" s="50">
        <v>33</v>
      </c>
      <c r="T13" s="50">
        <v>33</v>
      </c>
      <c r="U13" s="50">
        <v>33</v>
      </c>
      <c r="V13" s="50">
        <v>0</v>
      </c>
    </row>
    <row r="14" spans="1:22" ht="45" x14ac:dyDescent="0.3">
      <c r="A14" s="47">
        <v>9</v>
      </c>
      <c r="B14" s="55" t="s">
        <v>77</v>
      </c>
      <c r="C14" s="49" t="s">
        <v>84</v>
      </c>
      <c r="D14" s="49" t="s">
        <v>85</v>
      </c>
      <c r="E14" s="48" t="s">
        <v>88</v>
      </c>
      <c r="F14" s="49" t="s">
        <v>89</v>
      </c>
      <c r="G14" s="56">
        <v>99</v>
      </c>
      <c r="H14" s="56" t="s">
        <v>64</v>
      </c>
      <c r="I14" s="57">
        <v>1</v>
      </c>
      <c r="J14" s="22">
        <f>IF(I14=0.5,G14,I14*G14)</f>
        <v>99</v>
      </c>
      <c r="K14" s="50">
        <v>0</v>
      </c>
      <c r="L14" s="50">
        <v>33</v>
      </c>
      <c r="M14" s="50">
        <v>33</v>
      </c>
      <c r="N14" s="50">
        <v>33</v>
      </c>
      <c r="O14" s="50">
        <v>0</v>
      </c>
      <c r="P14" s="50">
        <v>0</v>
      </c>
      <c r="Q14" s="50">
        <v>0</v>
      </c>
      <c r="R14" s="50">
        <v>0</v>
      </c>
      <c r="S14" s="50">
        <v>0</v>
      </c>
      <c r="T14" s="50">
        <v>0</v>
      </c>
      <c r="U14" s="50">
        <v>0</v>
      </c>
      <c r="V14" s="50">
        <v>0</v>
      </c>
    </row>
    <row r="15" spans="1:22" x14ac:dyDescent="0.3">
      <c r="A15" s="43"/>
      <c r="B15" s="16"/>
      <c r="C15" s="17" t="s">
        <v>90</v>
      </c>
      <c r="D15" s="44"/>
      <c r="E15" s="23"/>
      <c r="F15" s="23"/>
      <c r="G15" s="23"/>
      <c r="H15" s="23"/>
      <c r="I15" s="23"/>
      <c r="J15" s="23"/>
      <c r="K15" s="23"/>
      <c r="L15" s="23"/>
      <c r="M15" s="23"/>
      <c r="N15" s="23"/>
      <c r="O15" s="53"/>
      <c r="P15" s="53"/>
      <c r="Q15" s="53"/>
      <c r="R15" s="24"/>
      <c r="S15" s="53"/>
      <c r="T15" s="54"/>
      <c r="U15" s="54"/>
      <c r="V15" s="21"/>
    </row>
    <row r="16" spans="1:22" ht="30" x14ac:dyDescent="0.3">
      <c r="A16" s="47">
        <v>10</v>
      </c>
      <c r="B16" s="55" t="s">
        <v>77</v>
      </c>
      <c r="C16" s="49" t="s">
        <v>91</v>
      </c>
      <c r="D16" s="49" t="s">
        <v>92</v>
      </c>
      <c r="E16" s="49" t="s">
        <v>93</v>
      </c>
      <c r="F16" s="49" t="s">
        <v>94</v>
      </c>
      <c r="G16" s="47">
        <v>99</v>
      </c>
      <c r="H16" s="56" t="s">
        <v>95</v>
      </c>
      <c r="I16" s="57">
        <v>52</v>
      </c>
      <c r="J16" s="22">
        <f>IF(I16=0.5,G16,I16*G16)</f>
        <v>5148</v>
      </c>
      <c r="K16" s="50">
        <f>Y16</f>
        <v>0</v>
      </c>
      <c r="L16" s="50">
        <f>Z16</f>
        <v>0</v>
      </c>
      <c r="M16" s="50">
        <f>Z16</f>
        <v>0</v>
      </c>
      <c r="N16" s="50">
        <f>Y16</f>
        <v>0</v>
      </c>
      <c r="O16" s="50">
        <f>Y16</f>
        <v>0</v>
      </c>
      <c r="P16" s="50">
        <f>Z16</f>
        <v>0</v>
      </c>
      <c r="Q16" s="50">
        <f>Z16</f>
        <v>0</v>
      </c>
      <c r="R16" s="50">
        <f>Z16</f>
        <v>0</v>
      </c>
      <c r="S16" s="50">
        <f>Y16</f>
        <v>0</v>
      </c>
      <c r="T16" s="50">
        <f>Z16</f>
        <v>0</v>
      </c>
      <c r="U16" s="50">
        <f>Z16</f>
        <v>0</v>
      </c>
      <c r="V16" s="50">
        <f>Z16</f>
        <v>0</v>
      </c>
    </row>
    <row r="17" spans="1:22" ht="90" x14ac:dyDescent="0.3">
      <c r="A17" s="47">
        <v>11</v>
      </c>
      <c r="B17" s="55" t="s">
        <v>77</v>
      </c>
      <c r="C17" s="49" t="s">
        <v>91</v>
      </c>
      <c r="D17" s="49" t="s">
        <v>92</v>
      </c>
      <c r="E17" s="49" t="s">
        <v>96</v>
      </c>
      <c r="F17" s="49" t="s">
        <v>97</v>
      </c>
      <c r="G17" s="56">
        <v>99</v>
      </c>
      <c r="H17" s="56" t="s">
        <v>64</v>
      </c>
      <c r="I17" s="47">
        <v>4</v>
      </c>
      <c r="J17" s="22">
        <f>IF(I17=0.5,G17,I17*G17)</f>
        <v>396</v>
      </c>
      <c r="K17" s="50">
        <v>33</v>
      </c>
      <c r="L17" s="50">
        <v>33</v>
      </c>
      <c r="M17" s="51">
        <v>33</v>
      </c>
      <c r="N17" s="50">
        <v>33</v>
      </c>
      <c r="O17" s="50">
        <v>33</v>
      </c>
      <c r="P17" s="51">
        <v>33</v>
      </c>
      <c r="Q17" s="50">
        <v>33</v>
      </c>
      <c r="R17" s="50">
        <v>33</v>
      </c>
      <c r="S17" s="51">
        <v>33</v>
      </c>
      <c r="T17" s="50">
        <v>33</v>
      </c>
      <c r="U17" s="50">
        <v>33</v>
      </c>
      <c r="V17" s="51">
        <v>33</v>
      </c>
    </row>
    <row r="18" spans="1:22" ht="255" x14ac:dyDescent="0.3">
      <c r="A18" s="47">
        <v>12</v>
      </c>
      <c r="B18" s="55" t="s">
        <v>77</v>
      </c>
      <c r="C18" s="49" t="s">
        <v>91</v>
      </c>
      <c r="D18" s="49" t="s">
        <v>92</v>
      </c>
      <c r="E18" s="49" t="s">
        <v>98</v>
      </c>
      <c r="F18" s="49" t="s">
        <v>99</v>
      </c>
      <c r="G18" s="56">
        <v>99</v>
      </c>
      <c r="H18" s="56" t="s">
        <v>64</v>
      </c>
      <c r="I18" s="47">
        <v>2</v>
      </c>
      <c r="J18" s="22">
        <f>IF(I18=0.5,G18,I18*G18)</f>
        <v>198</v>
      </c>
      <c r="K18" s="50"/>
      <c r="L18" s="50"/>
      <c r="M18" s="50"/>
      <c r="N18" s="50">
        <v>33</v>
      </c>
      <c r="O18" s="50">
        <v>33</v>
      </c>
      <c r="P18" s="50">
        <v>33</v>
      </c>
      <c r="Q18" s="50"/>
      <c r="R18" s="50"/>
      <c r="S18" s="50">
        <v>33</v>
      </c>
      <c r="T18" s="50">
        <v>33</v>
      </c>
      <c r="U18" s="51">
        <v>33</v>
      </c>
      <c r="V18" s="50">
        <v>0</v>
      </c>
    </row>
    <row r="19" spans="1:22" ht="180" x14ac:dyDescent="0.3">
      <c r="A19" s="47">
        <v>13</v>
      </c>
      <c r="B19" s="55" t="s">
        <v>77</v>
      </c>
      <c r="C19" s="49" t="s">
        <v>91</v>
      </c>
      <c r="D19" s="49" t="s">
        <v>92</v>
      </c>
      <c r="E19" s="49" t="s">
        <v>100</v>
      </c>
      <c r="F19" s="49" t="s">
        <v>101</v>
      </c>
      <c r="G19" s="56">
        <v>99</v>
      </c>
      <c r="H19" s="56" t="s">
        <v>64</v>
      </c>
      <c r="I19" s="47">
        <v>1</v>
      </c>
      <c r="J19" s="22">
        <f>IF(I19=0.5,G19,I19*G19)</f>
        <v>99</v>
      </c>
      <c r="K19" s="50">
        <v>33</v>
      </c>
      <c r="L19" s="50">
        <v>33</v>
      </c>
      <c r="M19" s="50">
        <v>33</v>
      </c>
      <c r="N19" s="50">
        <v>0</v>
      </c>
      <c r="O19" s="50">
        <v>0</v>
      </c>
      <c r="P19" s="50">
        <v>0</v>
      </c>
      <c r="Q19" s="50">
        <v>0</v>
      </c>
      <c r="R19" s="50">
        <v>0</v>
      </c>
      <c r="S19" s="50">
        <v>0</v>
      </c>
      <c r="T19" s="50">
        <v>0</v>
      </c>
      <c r="U19" s="50">
        <v>0</v>
      </c>
      <c r="V19" s="50">
        <v>0</v>
      </c>
    </row>
    <row r="20" spans="1:22" x14ac:dyDescent="0.3">
      <c r="A20" s="43"/>
      <c r="B20" s="16"/>
      <c r="C20" s="17" t="s">
        <v>102</v>
      </c>
      <c r="D20" s="44"/>
      <c r="E20" s="23"/>
      <c r="F20" s="23"/>
      <c r="G20" s="23"/>
      <c r="H20" s="23"/>
      <c r="I20" s="23"/>
      <c r="J20" s="23"/>
      <c r="K20" s="23"/>
      <c r="L20" s="23"/>
      <c r="M20" s="23"/>
      <c r="N20" s="23"/>
      <c r="O20" s="53"/>
      <c r="P20" s="53"/>
      <c r="Q20" s="53"/>
      <c r="R20" s="54"/>
      <c r="S20" s="53"/>
      <c r="T20" s="54"/>
      <c r="U20" s="54"/>
      <c r="V20" s="46"/>
    </row>
    <row r="21" spans="1:22" ht="45" x14ac:dyDescent="0.3">
      <c r="A21" s="58">
        <v>14</v>
      </c>
      <c r="B21" s="59" t="s">
        <v>59</v>
      </c>
      <c r="C21" s="60" t="s">
        <v>103</v>
      </c>
      <c r="D21" s="60" t="s">
        <v>104</v>
      </c>
      <c r="E21" s="60" t="s">
        <v>105</v>
      </c>
      <c r="F21" s="60" t="s">
        <v>106</v>
      </c>
      <c r="G21" s="61">
        <v>99</v>
      </c>
      <c r="H21" s="62" t="s">
        <v>64</v>
      </c>
      <c r="I21" s="58">
        <v>52</v>
      </c>
      <c r="J21" s="25">
        <f>IF(I21=0.5,G21,I21*G21)</f>
        <v>5148</v>
      </c>
      <c r="K21" s="63">
        <v>396</v>
      </c>
      <c r="L21" s="63">
        <v>396</v>
      </c>
      <c r="M21" s="63">
        <v>495</v>
      </c>
      <c r="N21" s="63">
        <v>396</v>
      </c>
      <c r="O21" s="63">
        <v>396</v>
      </c>
      <c r="P21" s="63">
        <v>495</v>
      </c>
      <c r="Q21" s="63">
        <v>396</v>
      </c>
      <c r="R21" s="63">
        <v>495</v>
      </c>
      <c r="S21" s="63">
        <v>396</v>
      </c>
      <c r="T21" s="63">
        <v>396</v>
      </c>
      <c r="U21" s="63">
        <v>495</v>
      </c>
      <c r="V21" s="63">
        <v>396</v>
      </c>
    </row>
    <row r="22" spans="1:22" ht="135" x14ac:dyDescent="0.3">
      <c r="A22" s="58">
        <v>15</v>
      </c>
      <c r="B22" s="59" t="s">
        <v>59</v>
      </c>
      <c r="C22" s="60" t="s">
        <v>103</v>
      </c>
      <c r="D22" s="60" t="s">
        <v>104</v>
      </c>
      <c r="E22" s="60" t="s">
        <v>107</v>
      </c>
      <c r="F22" s="60" t="s">
        <v>108</v>
      </c>
      <c r="G22" s="61">
        <v>99</v>
      </c>
      <c r="H22" s="62" t="s">
        <v>64</v>
      </c>
      <c r="I22" s="58">
        <v>4</v>
      </c>
      <c r="J22" s="25">
        <f>IF(I22=0.5,G22,I22*G22)</f>
        <v>396</v>
      </c>
      <c r="K22" s="64">
        <v>33</v>
      </c>
      <c r="L22" s="64">
        <v>33</v>
      </c>
      <c r="M22" s="64">
        <v>33</v>
      </c>
      <c r="N22" s="64">
        <v>33</v>
      </c>
      <c r="O22" s="64">
        <v>33</v>
      </c>
      <c r="P22" s="64">
        <v>33</v>
      </c>
      <c r="Q22" s="64">
        <v>33</v>
      </c>
      <c r="R22" s="64">
        <v>33</v>
      </c>
      <c r="S22" s="64">
        <v>33</v>
      </c>
      <c r="T22" s="64">
        <v>33</v>
      </c>
      <c r="U22" s="64">
        <v>33</v>
      </c>
      <c r="V22" s="64">
        <v>33</v>
      </c>
    </row>
    <row r="23" spans="1:22" ht="165" x14ac:dyDescent="0.3">
      <c r="A23" s="58">
        <v>16</v>
      </c>
      <c r="B23" s="59" t="s">
        <v>59</v>
      </c>
      <c r="C23" s="60" t="s">
        <v>103</v>
      </c>
      <c r="D23" s="60" t="s">
        <v>104</v>
      </c>
      <c r="E23" s="60" t="s">
        <v>109</v>
      </c>
      <c r="F23" s="60" t="s">
        <v>110</v>
      </c>
      <c r="G23" s="61">
        <v>99</v>
      </c>
      <c r="H23" s="62" t="s">
        <v>64</v>
      </c>
      <c r="I23" s="58">
        <v>1</v>
      </c>
      <c r="J23" s="25">
        <f>IF(I23=0.5,G23,I23*G23)</f>
        <v>99</v>
      </c>
      <c r="K23" s="64">
        <v>0</v>
      </c>
      <c r="L23" s="64">
        <v>0</v>
      </c>
      <c r="M23" s="64">
        <v>0</v>
      </c>
      <c r="N23" s="64">
        <v>33</v>
      </c>
      <c r="O23" s="64">
        <v>33</v>
      </c>
      <c r="P23" s="64">
        <v>33</v>
      </c>
      <c r="Q23" s="64">
        <v>0</v>
      </c>
      <c r="R23" s="64">
        <v>0</v>
      </c>
      <c r="S23" s="64">
        <v>0</v>
      </c>
      <c r="T23" s="64">
        <v>0</v>
      </c>
      <c r="U23" s="64">
        <v>0</v>
      </c>
      <c r="V23" s="64">
        <v>0</v>
      </c>
    </row>
    <row r="24" spans="1:22" x14ac:dyDescent="0.3">
      <c r="A24" s="65"/>
      <c r="B24" s="16"/>
      <c r="C24" s="66" t="s">
        <v>111</v>
      </c>
      <c r="D24" s="44"/>
      <c r="E24" s="23"/>
      <c r="F24" s="23"/>
      <c r="G24" s="23"/>
      <c r="H24" s="23"/>
      <c r="I24" s="23"/>
      <c r="J24" s="23"/>
      <c r="K24" s="23"/>
      <c r="L24" s="23"/>
      <c r="M24" s="23"/>
      <c r="N24" s="23"/>
      <c r="O24" s="53"/>
      <c r="P24" s="53"/>
      <c r="Q24" s="53"/>
      <c r="R24" s="54"/>
      <c r="S24" s="53"/>
      <c r="T24" s="54"/>
      <c r="U24" s="54"/>
      <c r="V24" s="46"/>
    </row>
    <row r="25" spans="1:22" ht="120" x14ac:dyDescent="0.3">
      <c r="A25" s="58">
        <v>17</v>
      </c>
      <c r="B25" s="67" t="s">
        <v>112</v>
      </c>
      <c r="C25" s="68" t="s">
        <v>113</v>
      </c>
      <c r="D25" s="60" t="s">
        <v>114</v>
      </c>
      <c r="E25" s="60" t="s">
        <v>115</v>
      </c>
      <c r="F25" s="60" t="s">
        <v>116</v>
      </c>
      <c r="G25" s="58">
        <v>48</v>
      </c>
      <c r="H25" s="69" t="s">
        <v>117</v>
      </c>
      <c r="I25" s="58">
        <v>12</v>
      </c>
      <c r="J25" s="25">
        <f>IF(I25=0.5,G25,I25*G25)</f>
        <v>576</v>
      </c>
      <c r="K25" s="64">
        <v>48</v>
      </c>
      <c r="L25" s="64">
        <v>48</v>
      </c>
      <c r="M25" s="64">
        <v>48</v>
      </c>
      <c r="N25" s="64">
        <v>48</v>
      </c>
      <c r="O25" s="64">
        <v>48</v>
      </c>
      <c r="P25" s="64">
        <v>48</v>
      </c>
      <c r="Q25" s="64">
        <v>48</v>
      </c>
      <c r="R25" s="64">
        <v>48</v>
      </c>
      <c r="S25" s="64">
        <v>48</v>
      </c>
      <c r="T25" s="64">
        <v>48</v>
      </c>
      <c r="U25" s="64">
        <v>48</v>
      </c>
      <c r="V25" s="64">
        <v>48</v>
      </c>
    </row>
    <row r="26" spans="1:22" ht="150" x14ac:dyDescent="0.3">
      <c r="A26" s="58">
        <v>18</v>
      </c>
      <c r="B26" s="67" t="s">
        <v>112</v>
      </c>
      <c r="C26" s="68" t="s">
        <v>113</v>
      </c>
      <c r="D26" s="60" t="s">
        <v>114</v>
      </c>
      <c r="E26" s="60" t="s">
        <v>118</v>
      </c>
      <c r="F26" s="60" t="s">
        <v>119</v>
      </c>
      <c r="G26" s="58">
        <v>48</v>
      </c>
      <c r="H26" s="69" t="s">
        <v>117</v>
      </c>
      <c r="I26" s="62">
        <v>4</v>
      </c>
      <c r="J26" s="25">
        <f>IF(I26=0.5,G26,I26*G26)</f>
        <v>192</v>
      </c>
      <c r="K26" s="64">
        <v>0</v>
      </c>
      <c r="L26" s="64">
        <v>0</v>
      </c>
      <c r="M26" s="64">
        <v>48</v>
      </c>
      <c r="N26" s="64">
        <v>0</v>
      </c>
      <c r="O26" s="64">
        <v>0</v>
      </c>
      <c r="P26" s="64">
        <v>48</v>
      </c>
      <c r="Q26" s="64">
        <v>0</v>
      </c>
      <c r="R26" s="64">
        <v>0</v>
      </c>
      <c r="S26" s="64">
        <v>48</v>
      </c>
      <c r="T26" s="64">
        <v>0</v>
      </c>
      <c r="U26" s="64">
        <v>0</v>
      </c>
      <c r="V26" s="64">
        <v>48</v>
      </c>
    </row>
    <row r="27" spans="1:22" ht="105" x14ac:dyDescent="0.3">
      <c r="A27" s="58">
        <v>19</v>
      </c>
      <c r="B27" s="67" t="s">
        <v>112</v>
      </c>
      <c r="C27" s="68" t="s">
        <v>113</v>
      </c>
      <c r="D27" s="60" t="s">
        <v>114</v>
      </c>
      <c r="E27" s="60" t="s">
        <v>120</v>
      </c>
      <c r="F27" s="60" t="s">
        <v>121</v>
      </c>
      <c r="G27" s="58">
        <v>48</v>
      </c>
      <c r="H27" s="69" t="s">
        <v>117</v>
      </c>
      <c r="I27" s="58">
        <v>1</v>
      </c>
      <c r="J27" s="25">
        <f>IF(I27=0.5,G27,I27*G27)</f>
        <v>48</v>
      </c>
      <c r="K27" s="64">
        <v>0</v>
      </c>
      <c r="L27" s="64">
        <v>0</v>
      </c>
      <c r="M27" s="64">
        <v>0</v>
      </c>
      <c r="N27" s="64">
        <v>0</v>
      </c>
      <c r="O27" s="64">
        <v>0</v>
      </c>
      <c r="P27" s="64">
        <v>0</v>
      </c>
      <c r="Q27" s="64">
        <v>0</v>
      </c>
      <c r="R27" s="64">
        <v>0</v>
      </c>
      <c r="S27" s="64">
        <v>0</v>
      </c>
      <c r="T27" s="64">
        <v>24</v>
      </c>
      <c r="U27" s="64">
        <v>24</v>
      </c>
      <c r="V27" s="64">
        <v>0</v>
      </c>
    </row>
    <row r="28" spans="1:22" x14ac:dyDescent="0.3">
      <c r="A28" s="65"/>
      <c r="B28" s="16"/>
      <c r="C28" s="66" t="s">
        <v>122</v>
      </c>
      <c r="D28" s="44"/>
      <c r="E28" s="23"/>
      <c r="F28" s="23"/>
      <c r="G28" s="23"/>
      <c r="H28" s="23"/>
      <c r="I28" s="23"/>
      <c r="J28" s="23"/>
      <c r="K28" s="23"/>
      <c r="L28" s="23"/>
      <c r="M28" s="23"/>
      <c r="N28" s="23"/>
      <c r="O28" s="53"/>
      <c r="P28" s="53"/>
      <c r="Q28" s="53"/>
      <c r="R28" s="54"/>
      <c r="S28" s="53"/>
      <c r="T28" s="54"/>
      <c r="U28" s="54"/>
      <c r="V28" s="46"/>
    </row>
    <row r="29" spans="1:22" ht="90" x14ac:dyDescent="0.3">
      <c r="A29" s="58">
        <v>20</v>
      </c>
      <c r="B29" s="70" t="s">
        <v>112</v>
      </c>
      <c r="C29" s="68" t="s">
        <v>123</v>
      </c>
      <c r="D29" s="60" t="s">
        <v>124</v>
      </c>
      <c r="E29" s="60" t="s">
        <v>125</v>
      </c>
      <c r="F29" s="60" t="s">
        <v>126</v>
      </c>
      <c r="G29" s="58">
        <v>48</v>
      </c>
      <c r="H29" s="58" t="s">
        <v>123</v>
      </c>
      <c r="I29" s="58">
        <v>52</v>
      </c>
      <c r="J29" s="25">
        <f>IF(I29=0.5,G29,I29*G29)</f>
        <v>2496</v>
      </c>
      <c r="K29" s="64">
        <v>240</v>
      </c>
      <c r="L29" s="64">
        <v>192</v>
      </c>
      <c r="M29" s="64">
        <v>192</v>
      </c>
      <c r="N29" s="64">
        <v>192</v>
      </c>
      <c r="O29" s="64">
        <v>240</v>
      </c>
      <c r="P29" s="64">
        <v>192</v>
      </c>
      <c r="Q29" s="64">
        <v>240</v>
      </c>
      <c r="R29" s="64">
        <v>192</v>
      </c>
      <c r="S29" s="64">
        <v>240</v>
      </c>
      <c r="T29" s="64">
        <v>192</v>
      </c>
      <c r="U29" s="64">
        <v>192</v>
      </c>
      <c r="V29" s="64">
        <v>192</v>
      </c>
    </row>
    <row r="30" spans="1:22" ht="75" x14ac:dyDescent="0.3">
      <c r="A30" s="58">
        <v>21</v>
      </c>
      <c r="B30" s="70" t="s">
        <v>112</v>
      </c>
      <c r="C30" s="68" t="s">
        <v>123</v>
      </c>
      <c r="D30" s="60" t="s">
        <v>124</v>
      </c>
      <c r="E30" s="60" t="s">
        <v>127</v>
      </c>
      <c r="F30" s="60" t="s">
        <v>128</v>
      </c>
      <c r="G30" s="58">
        <v>48</v>
      </c>
      <c r="H30" s="58" t="s">
        <v>123</v>
      </c>
      <c r="I30" s="58">
        <v>4</v>
      </c>
      <c r="J30" s="25">
        <f>IF(I30=0.5,G30,I30*G30)</f>
        <v>192</v>
      </c>
      <c r="K30" s="64">
        <v>0</v>
      </c>
      <c r="L30" s="64">
        <v>0</v>
      </c>
      <c r="M30" s="64">
        <v>48</v>
      </c>
      <c r="N30" s="64">
        <v>0</v>
      </c>
      <c r="O30" s="64">
        <v>0</v>
      </c>
      <c r="P30" s="64">
        <v>48</v>
      </c>
      <c r="Q30" s="64">
        <v>0</v>
      </c>
      <c r="R30" s="64">
        <v>0</v>
      </c>
      <c r="S30" s="64">
        <v>48</v>
      </c>
      <c r="T30" s="64">
        <v>0</v>
      </c>
      <c r="U30" s="64">
        <v>0</v>
      </c>
      <c r="V30" s="64">
        <v>48</v>
      </c>
    </row>
    <row r="31" spans="1:22" ht="315" x14ac:dyDescent="0.3">
      <c r="A31" s="58">
        <v>22</v>
      </c>
      <c r="B31" s="70" t="s">
        <v>112</v>
      </c>
      <c r="C31" s="68" t="s">
        <v>123</v>
      </c>
      <c r="D31" s="60" t="s">
        <v>124</v>
      </c>
      <c r="E31" s="60" t="s">
        <v>129</v>
      </c>
      <c r="F31" s="60" t="s">
        <v>130</v>
      </c>
      <c r="G31" s="58">
        <v>48</v>
      </c>
      <c r="H31" s="58" t="s">
        <v>123</v>
      </c>
      <c r="I31" s="58">
        <v>2</v>
      </c>
      <c r="J31" s="25">
        <f>IF(I31=0.5,G31,I31*G31)</f>
        <v>96</v>
      </c>
      <c r="K31" s="64">
        <v>0</v>
      </c>
      <c r="L31" s="64">
        <v>0</v>
      </c>
      <c r="M31" s="64">
        <v>48</v>
      </c>
      <c r="N31" s="64">
        <v>0</v>
      </c>
      <c r="O31" s="64">
        <v>0</v>
      </c>
      <c r="P31" s="64">
        <v>0</v>
      </c>
      <c r="Q31" s="64">
        <v>0</v>
      </c>
      <c r="R31" s="64">
        <v>0</v>
      </c>
      <c r="S31" s="64">
        <v>48</v>
      </c>
      <c r="T31" s="64">
        <v>0</v>
      </c>
      <c r="U31" s="64">
        <v>0</v>
      </c>
      <c r="V31" s="64">
        <v>0</v>
      </c>
    </row>
    <row r="32" spans="1:22" ht="195" x14ac:dyDescent="0.3">
      <c r="A32" s="58">
        <v>23</v>
      </c>
      <c r="B32" s="70" t="s">
        <v>112</v>
      </c>
      <c r="C32" s="68" t="s">
        <v>123</v>
      </c>
      <c r="D32" s="60" t="s">
        <v>124</v>
      </c>
      <c r="E32" s="60" t="s">
        <v>131</v>
      </c>
      <c r="F32" s="60" t="s">
        <v>132</v>
      </c>
      <c r="G32" s="58">
        <v>48</v>
      </c>
      <c r="H32" s="58" t="s">
        <v>123</v>
      </c>
      <c r="I32" s="58">
        <v>1</v>
      </c>
      <c r="J32" s="25">
        <f>IF(I32=0.5,G32,I32*G32)</f>
        <v>48</v>
      </c>
      <c r="K32" s="64">
        <v>0</v>
      </c>
      <c r="L32" s="64">
        <v>0</v>
      </c>
      <c r="M32" s="64">
        <v>0</v>
      </c>
      <c r="N32" s="64">
        <v>0</v>
      </c>
      <c r="O32" s="64">
        <v>0</v>
      </c>
      <c r="P32" s="64">
        <v>0</v>
      </c>
      <c r="Q32" s="64">
        <v>0</v>
      </c>
      <c r="R32" s="64">
        <v>0</v>
      </c>
      <c r="S32" s="64">
        <v>0</v>
      </c>
      <c r="T32" s="64">
        <v>24</v>
      </c>
      <c r="U32" s="64">
        <v>24</v>
      </c>
      <c r="V32" s="64">
        <v>0</v>
      </c>
    </row>
    <row r="33" spans="1:22" x14ac:dyDescent="0.3">
      <c r="A33" s="65"/>
      <c r="B33" s="16"/>
      <c r="C33" s="66" t="s">
        <v>133</v>
      </c>
      <c r="D33" s="44"/>
      <c r="E33" s="23"/>
      <c r="F33" s="23"/>
      <c r="G33" s="23"/>
      <c r="H33" s="23"/>
      <c r="I33" s="23"/>
      <c r="J33" s="23"/>
      <c r="K33" s="23"/>
      <c r="L33" s="23"/>
      <c r="M33" s="23"/>
      <c r="N33" s="23"/>
      <c r="O33" s="53"/>
      <c r="P33" s="53"/>
      <c r="Q33" s="53"/>
      <c r="R33" s="54"/>
      <c r="S33" s="53"/>
      <c r="T33" s="54"/>
      <c r="U33" s="54"/>
      <c r="V33" s="46"/>
    </row>
    <row r="34" spans="1:22" ht="60" x14ac:dyDescent="0.3">
      <c r="A34" s="47">
        <v>24</v>
      </c>
      <c r="B34" s="71" t="s">
        <v>112</v>
      </c>
      <c r="C34" s="49" t="s">
        <v>134</v>
      </c>
      <c r="D34" s="49" t="s">
        <v>135</v>
      </c>
      <c r="E34" s="49" t="s">
        <v>136</v>
      </c>
      <c r="F34" s="49" t="s">
        <v>137</v>
      </c>
      <c r="G34" s="47">
        <v>24</v>
      </c>
      <c r="H34" s="72" t="s">
        <v>138</v>
      </c>
      <c r="I34" s="47">
        <v>52</v>
      </c>
      <c r="J34" s="22">
        <f>IF(I34=0.5,G34,I34*G34)</f>
        <v>1248</v>
      </c>
      <c r="K34" s="50">
        <v>96</v>
      </c>
      <c r="L34" s="50">
        <v>96</v>
      </c>
      <c r="M34" s="50">
        <v>96</v>
      </c>
      <c r="N34" s="50">
        <v>96</v>
      </c>
      <c r="O34" s="50">
        <v>96</v>
      </c>
      <c r="P34" s="50">
        <v>96</v>
      </c>
      <c r="Q34" s="50">
        <v>96</v>
      </c>
      <c r="R34" s="50">
        <v>96</v>
      </c>
      <c r="S34" s="50">
        <v>96</v>
      </c>
      <c r="T34" s="50">
        <v>96</v>
      </c>
      <c r="U34" s="50">
        <v>96</v>
      </c>
      <c r="V34" s="50">
        <v>96</v>
      </c>
    </row>
    <row r="35" spans="1:22" ht="165" x14ac:dyDescent="0.3">
      <c r="A35" s="58">
        <v>25</v>
      </c>
      <c r="B35" s="70" t="s">
        <v>112</v>
      </c>
      <c r="C35" s="60" t="s">
        <v>134</v>
      </c>
      <c r="D35" s="60" t="s">
        <v>135</v>
      </c>
      <c r="E35" s="60" t="s">
        <v>139</v>
      </c>
      <c r="F35" s="60" t="s">
        <v>140</v>
      </c>
      <c r="G35" s="58">
        <v>24</v>
      </c>
      <c r="H35" s="69" t="s">
        <v>138</v>
      </c>
      <c r="I35" s="58">
        <v>4</v>
      </c>
      <c r="J35" s="25">
        <f>IF(I35=0.5,G35,I35*G35)</f>
        <v>96</v>
      </c>
      <c r="K35" s="64">
        <v>0</v>
      </c>
      <c r="L35" s="64">
        <v>0</v>
      </c>
      <c r="M35" s="64">
        <v>24</v>
      </c>
      <c r="N35" s="64">
        <v>0</v>
      </c>
      <c r="O35" s="64">
        <v>0</v>
      </c>
      <c r="P35" s="64">
        <v>24</v>
      </c>
      <c r="Q35" s="64">
        <v>0</v>
      </c>
      <c r="R35" s="64">
        <v>0</v>
      </c>
      <c r="S35" s="64">
        <v>24</v>
      </c>
      <c r="T35" s="64">
        <v>0</v>
      </c>
      <c r="U35" s="64">
        <v>0</v>
      </c>
      <c r="V35" s="64">
        <v>24</v>
      </c>
    </row>
    <row r="36" spans="1:22" ht="409.5" x14ac:dyDescent="0.3">
      <c r="A36" s="58">
        <v>26</v>
      </c>
      <c r="B36" s="70" t="s">
        <v>112</v>
      </c>
      <c r="C36" s="60" t="s">
        <v>134</v>
      </c>
      <c r="D36" s="60" t="s">
        <v>135</v>
      </c>
      <c r="E36" s="60" t="s">
        <v>141</v>
      </c>
      <c r="F36" s="60" t="s">
        <v>142</v>
      </c>
      <c r="G36" s="58">
        <v>24</v>
      </c>
      <c r="H36" s="69" t="s">
        <v>138</v>
      </c>
      <c r="I36" s="58">
        <v>1</v>
      </c>
      <c r="J36" s="25">
        <f>IF(I36=0.5,G36,I36*G36)</f>
        <v>24</v>
      </c>
      <c r="K36" s="64">
        <v>0</v>
      </c>
      <c r="L36" s="64">
        <v>0</v>
      </c>
      <c r="M36" s="64">
        <v>0</v>
      </c>
      <c r="N36" s="64">
        <v>0</v>
      </c>
      <c r="O36" s="64">
        <v>0</v>
      </c>
      <c r="P36" s="64">
        <v>0</v>
      </c>
      <c r="Q36" s="64">
        <v>0</v>
      </c>
      <c r="R36" s="64">
        <v>0</v>
      </c>
      <c r="S36" s="64">
        <v>24</v>
      </c>
      <c r="T36" s="64">
        <v>0</v>
      </c>
      <c r="U36" s="64">
        <v>0</v>
      </c>
      <c r="V36" s="64">
        <v>0</v>
      </c>
    </row>
    <row r="37" spans="1:22" x14ac:dyDescent="0.3">
      <c r="A37" s="65"/>
      <c r="B37" s="16"/>
      <c r="C37" s="66" t="s">
        <v>143</v>
      </c>
      <c r="D37" s="44"/>
      <c r="E37" s="23"/>
      <c r="F37" s="23"/>
      <c r="G37" s="23"/>
      <c r="H37" s="23"/>
      <c r="I37" s="23"/>
      <c r="J37" s="23"/>
      <c r="K37" s="23"/>
      <c r="L37" s="23"/>
      <c r="M37" s="23"/>
      <c r="N37" s="23"/>
      <c r="O37" s="53"/>
      <c r="P37" s="53"/>
      <c r="Q37" s="53"/>
      <c r="R37" s="54"/>
      <c r="S37" s="53"/>
      <c r="T37" s="54"/>
      <c r="U37" s="54"/>
      <c r="V37" s="46"/>
    </row>
    <row r="38" spans="1:22" ht="60" x14ac:dyDescent="0.3">
      <c r="A38" s="47">
        <v>27</v>
      </c>
      <c r="B38" s="71" t="s">
        <v>112</v>
      </c>
      <c r="C38" s="49" t="s">
        <v>144</v>
      </c>
      <c r="D38" s="49" t="s">
        <v>145</v>
      </c>
      <c r="E38" s="49" t="s">
        <v>146</v>
      </c>
      <c r="F38" s="49" t="s">
        <v>147</v>
      </c>
      <c r="G38" s="47">
        <v>24</v>
      </c>
      <c r="H38" s="72" t="s">
        <v>148</v>
      </c>
      <c r="I38" s="47">
        <v>52</v>
      </c>
      <c r="J38" s="22">
        <f>IF(I38=0.5,G38,I38*G38)</f>
        <v>1248</v>
      </c>
      <c r="K38" s="50">
        <v>96</v>
      </c>
      <c r="L38" s="50">
        <v>96</v>
      </c>
      <c r="M38" s="50">
        <v>96</v>
      </c>
      <c r="N38" s="50">
        <v>96</v>
      </c>
      <c r="O38" s="50">
        <v>96</v>
      </c>
      <c r="P38" s="50">
        <v>96</v>
      </c>
      <c r="Q38" s="50">
        <v>96</v>
      </c>
      <c r="R38" s="50">
        <v>96</v>
      </c>
      <c r="S38" s="50">
        <v>96</v>
      </c>
      <c r="T38" s="50">
        <v>96</v>
      </c>
      <c r="U38" s="50">
        <v>96</v>
      </c>
      <c r="V38" s="50">
        <v>96</v>
      </c>
    </row>
    <row r="39" spans="1:22" ht="105" x14ac:dyDescent="0.3">
      <c r="A39" s="47">
        <v>28</v>
      </c>
      <c r="B39" s="71" t="s">
        <v>112</v>
      </c>
      <c r="C39" s="49" t="s">
        <v>144</v>
      </c>
      <c r="D39" s="49" t="s">
        <v>145</v>
      </c>
      <c r="E39" s="49" t="s">
        <v>310</v>
      </c>
      <c r="F39" s="49" t="s">
        <v>150</v>
      </c>
      <c r="G39" s="47">
        <v>24</v>
      </c>
      <c r="H39" s="72" t="s">
        <v>148</v>
      </c>
      <c r="I39" s="47">
        <v>4</v>
      </c>
      <c r="J39" s="22">
        <f>IF(I39=0.5,G39,I39*G39)</f>
        <v>96</v>
      </c>
      <c r="K39" s="50">
        <v>0</v>
      </c>
      <c r="L39" s="50">
        <v>0</v>
      </c>
      <c r="M39" s="50">
        <v>24</v>
      </c>
      <c r="N39" s="50">
        <v>0</v>
      </c>
      <c r="O39" s="50">
        <v>0</v>
      </c>
      <c r="P39" s="50">
        <v>24</v>
      </c>
      <c r="Q39" s="50">
        <v>0</v>
      </c>
      <c r="R39" s="50">
        <v>0</v>
      </c>
      <c r="S39" s="50">
        <v>24</v>
      </c>
      <c r="T39" s="50">
        <v>0</v>
      </c>
      <c r="U39" s="50">
        <v>0</v>
      </c>
      <c r="V39" s="50">
        <v>24</v>
      </c>
    </row>
    <row r="40" spans="1:22" x14ac:dyDescent="0.3">
      <c r="A40" s="65"/>
      <c r="B40" s="16"/>
      <c r="C40" s="66" t="s">
        <v>151</v>
      </c>
      <c r="D40" s="44"/>
      <c r="E40" s="23"/>
      <c r="F40" s="23"/>
      <c r="G40" s="23"/>
      <c r="H40" s="23"/>
      <c r="I40" s="23"/>
      <c r="J40" s="23"/>
      <c r="K40" s="23"/>
      <c r="L40" s="23"/>
      <c r="M40" s="23"/>
      <c r="N40" s="23"/>
      <c r="O40" s="53"/>
      <c r="P40" s="53"/>
      <c r="Q40" s="53"/>
      <c r="R40" s="54"/>
      <c r="S40" s="53"/>
      <c r="T40" s="54"/>
      <c r="U40" s="54"/>
      <c r="V40" s="46"/>
    </row>
    <row r="41" spans="1:22" ht="105" x14ac:dyDescent="0.3">
      <c r="A41" s="58">
        <v>29</v>
      </c>
      <c r="B41" s="70" t="s">
        <v>112</v>
      </c>
      <c r="C41" s="60" t="s">
        <v>152</v>
      </c>
      <c r="D41" s="60" t="s">
        <v>153</v>
      </c>
      <c r="E41" s="60" t="s">
        <v>154</v>
      </c>
      <c r="F41" s="60" t="s">
        <v>155</v>
      </c>
      <c r="G41" s="58">
        <v>24</v>
      </c>
      <c r="H41" s="69" t="s">
        <v>156</v>
      </c>
      <c r="I41" s="58">
        <v>1</v>
      </c>
      <c r="J41" s="25">
        <f>IF(I41=0.5,G41,I41*G41)</f>
        <v>24</v>
      </c>
      <c r="K41" s="64"/>
      <c r="L41" s="64"/>
      <c r="M41" s="64">
        <v>0</v>
      </c>
      <c r="N41" s="64">
        <v>0</v>
      </c>
      <c r="O41" s="64">
        <v>0</v>
      </c>
      <c r="P41" s="64">
        <v>0</v>
      </c>
      <c r="Q41" s="64">
        <v>0</v>
      </c>
      <c r="R41" s="64">
        <v>0</v>
      </c>
      <c r="S41" s="64">
        <v>0</v>
      </c>
      <c r="T41" s="64">
        <v>24</v>
      </c>
      <c r="U41" s="64">
        <v>0</v>
      </c>
      <c r="V41" s="64">
        <v>0</v>
      </c>
    </row>
    <row r="42" spans="1:22" x14ac:dyDescent="0.3">
      <c r="A42" s="65"/>
      <c r="B42" s="16"/>
      <c r="C42" s="66" t="s">
        <v>157</v>
      </c>
      <c r="D42" s="44"/>
      <c r="E42" s="23"/>
      <c r="F42" s="23"/>
      <c r="G42" s="23"/>
      <c r="H42" s="23"/>
      <c r="I42" s="23"/>
      <c r="J42" s="23"/>
      <c r="K42" s="23"/>
      <c r="L42" s="23"/>
      <c r="M42" s="23"/>
      <c r="N42" s="23"/>
      <c r="O42" s="53"/>
      <c r="P42" s="53"/>
      <c r="Q42" s="53"/>
      <c r="R42" s="54"/>
      <c r="S42" s="53"/>
      <c r="T42" s="54"/>
      <c r="U42" s="54"/>
      <c r="V42" s="46"/>
    </row>
    <row r="43" spans="1:22" ht="60" x14ac:dyDescent="0.3">
      <c r="A43" s="58">
        <v>30</v>
      </c>
      <c r="B43" s="70" t="s">
        <v>158</v>
      </c>
      <c r="C43" s="60" t="s">
        <v>159</v>
      </c>
      <c r="D43" s="60" t="s">
        <v>160</v>
      </c>
      <c r="E43" s="60" t="s">
        <v>161</v>
      </c>
      <c r="F43" s="60" t="s">
        <v>162</v>
      </c>
      <c r="G43" s="58">
        <v>1</v>
      </c>
      <c r="H43" s="69" t="s">
        <v>163</v>
      </c>
      <c r="I43" s="58">
        <v>52</v>
      </c>
      <c r="J43" s="25">
        <f>IF(I43=0.5,G43,I43*G43)</f>
        <v>52</v>
      </c>
      <c r="K43" s="64">
        <v>4</v>
      </c>
      <c r="L43" s="64">
        <v>4</v>
      </c>
      <c r="M43" s="64">
        <v>4</v>
      </c>
      <c r="N43" s="64">
        <v>4</v>
      </c>
      <c r="O43" s="64">
        <v>4</v>
      </c>
      <c r="P43" s="64">
        <v>4</v>
      </c>
      <c r="Q43" s="64">
        <v>4</v>
      </c>
      <c r="R43" s="64">
        <v>4</v>
      </c>
      <c r="S43" s="64">
        <v>4</v>
      </c>
      <c r="T43" s="64">
        <v>4</v>
      </c>
      <c r="U43" s="64">
        <v>4</v>
      </c>
      <c r="V43" s="64">
        <v>4</v>
      </c>
    </row>
    <row r="44" spans="1:22" ht="60" x14ac:dyDescent="0.3">
      <c r="A44" s="58">
        <v>31</v>
      </c>
      <c r="B44" s="70" t="s">
        <v>158</v>
      </c>
      <c r="C44" s="60" t="s">
        <v>159</v>
      </c>
      <c r="D44" s="60" t="s">
        <v>160</v>
      </c>
      <c r="E44" s="60" t="s">
        <v>164</v>
      </c>
      <c r="F44" s="60" t="s">
        <v>165</v>
      </c>
      <c r="G44" s="58">
        <v>1</v>
      </c>
      <c r="H44" s="69" t="s">
        <v>163</v>
      </c>
      <c r="I44" s="58">
        <v>4</v>
      </c>
      <c r="J44" s="25">
        <f>IF(I44=0.5,G44,I44*G44)</f>
        <v>4</v>
      </c>
      <c r="K44" s="64">
        <v>0</v>
      </c>
      <c r="L44" s="64">
        <v>0</v>
      </c>
      <c r="M44" s="64">
        <v>1</v>
      </c>
      <c r="N44" s="64">
        <v>0</v>
      </c>
      <c r="O44" s="64">
        <v>0</v>
      </c>
      <c r="P44" s="64">
        <v>1</v>
      </c>
      <c r="Q44" s="64">
        <v>0</v>
      </c>
      <c r="R44" s="64">
        <v>0</v>
      </c>
      <c r="S44" s="64">
        <v>1</v>
      </c>
      <c r="T44" s="64">
        <v>0</v>
      </c>
      <c r="U44" s="64">
        <v>0</v>
      </c>
      <c r="V44" s="64">
        <v>1</v>
      </c>
    </row>
    <row r="45" spans="1:22" x14ac:dyDescent="0.3">
      <c r="A45" s="65"/>
      <c r="B45" s="16"/>
      <c r="C45" s="66" t="s">
        <v>166</v>
      </c>
      <c r="D45" s="44"/>
      <c r="E45" s="23"/>
      <c r="F45" s="23"/>
      <c r="G45" s="23"/>
      <c r="H45" s="23"/>
      <c r="I45" s="23"/>
      <c r="J45" s="23"/>
      <c r="K45" s="23"/>
      <c r="L45" s="23"/>
      <c r="M45" s="23"/>
      <c r="N45" s="23"/>
      <c r="O45" s="53"/>
      <c r="P45" s="53"/>
      <c r="Q45" s="53"/>
      <c r="R45" s="54"/>
      <c r="S45" s="53"/>
      <c r="T45" s="54"/>
      <c r="U45" s="54"/>
      <c r="V45" s="46"/>
    </row>
    <row r="46" spans="1:22" ht="30" x14ac:dyDescent="0.3">
      <c r="A46" s="58">
        <v>32</v>
      </c>
      <c r="B46" s="70" t="s">
        <v>158</v>
      </c>
      <c r="C46" s="60" t="s">
        <v>167</v>
      </c>
      <c r="D46" s="60" t="s">
        <v>168</v>
      </c>
      <c r="E46" s="60" t="s">
        <v>169</v>
      </c>
      <c r="F46" s="60" t="s">
        <v>162</v>
      </c>
      <c r="G46" s="58">
        <v>1</v>
      </c>
      <c r="H46" s="69" t="s">
        <v>158</v>
      </c>
      <c r="I46" s="58">
        <v>365</v>
      </c>
      <c r="J46" s="25">
        <f>IF(I46=0.5,G46,I46*G46)</f>
        <v>365</v>
      </c>
      <c r="K46" s="64">
        <v>31</v>
      </c>
      <c r="L46" s="64">
        <v>28</v>
      </c>
      <c r="M46" s="64">
        <v>31</v>
      </c>
      <c r="N46" s="64">
        <v>30</v>
      </c>
      <c r="O46" s="64">
        <v>31</v>
      </c>
      <c r="P46" s="64">
        <v>30</v>
      </c>
      <c r="Q46" s="64">
        <v>31</v>
      </c>
      <c r="R46" s="64">
        <v>31</v>
      </c>
      <c r="S46" s="64">
        <v>30</v>
      </c>
      <c r="T46" s="64">
        <v>31</v>
      </c>
      <c r="U46" s="64">
        <v>30</v>
      </c>
      <c r="V46" s="64">
        <v>31</v>
      </c>
    </row>
    <row r="47" spans="1:22" ht="45" x14ac:dyDescent="0.3">
      <c r="A47" s="58">
        <v>33</v>
      </c>
      <c r="B47" s="70" t="s">
        <v>158</v>
      </c>
      <c r="C47" s="60" t="s">
        <v>167</v>
      </c>
      <c r="D47" s="60" t="s">
        <v>168</v>
      </c>
      <c r="E47" s="60" t="s">
        <v>170</v>
      </c>
      <c r="F47" s="60" t="s">
        <v>171</v>
      </c>
      <c r="G47" s="58">
        <v>1</v>
      </c>
      <c r="H47" s="69" t="s">
        <v>158</v>
      </c>
      <c r="I47" s="58">
        <v>4</v>
      </c>
      <c r="J47" s="25">
        <f>IF(I47=0.5,G47,I47*G47)</f>
        <v>4</v>
      </c>
      <c r="K47" s="64">
        <v>0</v>
      </c>
      <c r="L47" s="64">
        <v>0</v>
      </c>
      <c r="M47" s="64">
        <v>1</v>
      </c>
      <c r="N47" s="64">
        <v>0</v>
      </c>
      <c r="O47" s="64">
        <v>0</v>
      </c>
      <c r="P47" s="64">
        <v>1</v>
      </c>
      <c r="Q47" s="64">
        <v>0</v>
      </c>
      <c r="R47" s="64">
        <v>0</v>
      </c>
      <c r="S47" s="64">
        <v>1</v>
      </c>
      <c r="T47" s="64">
        <v>0</v>
      </c>
      <c r="U47" s="64">
        <v>0</v>
      </c>
      <c r="V47" s="64">
        <v>1</v>
      </c>
    </row>
    <row r="48" spans="1:22" ht="30" x14ac:dyDescent="0.3">
      <c r="A48" s="58">
        <v>34</v>
      </c>
      <c r="B48" s="70" t="s">
        <v>158</v>
      </c>
      <c r="C48" s="60" t="s">
        <v>167</v>
      </c>
      <c r="D48" s="60" t="s">
        <v>168</v>
      </c>
      <c r="E48" s="60" t="s">
        <v>172</v>
      </c>
      <c r="F48" s="60" t="s">
        <v>173</v>
      </c>
      <c r="G48" s="58">
        <v>1</v>
      </c>
      <c r="H48" s="69" t="s">
        <v>158</v>
      </c>
      <c r="I48" s="58" t="s">
        <v>75</v>
      </c>
      <c r="J48" s="25">
        <v>0</v>
      </c>
      <c r="K48" s="64">
        <v>0</v>
      </c>
      <c r="L48" s="64">
        <v>0</v>
      </c>
      <c r="M48" s="64">
        <v>0</v>
      </c>
      <c r="N48" s="64">
        <v>0</v>
      </c>
      <c r="O48" s="64">
        <v>0</v>
      </c>
      <c r="P48" s="64">
        <v>0</v>
      </c>
      <c r="Q48" s="64">
        <v>0</v>
      </c>
      <c r="R48" s="64">
        <v>0</v>
      </c>
      <c r="S48" s="64">
        <v>0</v>
      </c>
      <c r="T48" s="64">
        <v>0</v>
      </c>
      <c r="U48" s="64">
        <v>0</v>
      </c>
      <c r="V48" s="64">
        <v>0</v>
      </c>
    </row>
    <row r="49" spans="1:22" x14ac:dyDescent="0.3">
      <c r="A49" s="65"/>
      <c r="B49" s="16"/>
      <c r="C49" s="66" t="s">
        <v>174</v>
      </c>
      <c r="D49" s="44"/>
      <c r="E49" s="23"/>
      <c r="F49" s="23"/>
      <c r="G49" s="23"/>
      <c r="H49" s="23"/>
      <c r="I49" s="23"/>
      <c r="J49" s="23"/>
      <c r="K49" s="23"/>
      <c r="L49" s="23"/>
      <c r="M49" s="23"/>
      <c r="N49" s="23"/>
      <c r="O49" s="53"/>
      <c r="P49" s="53"/>
      <c r="Q49" s="53"/>
      <c r="R49" s="54"/>
      <c r="S49" s="53"/>
      <c r="T49" s="54"/>
      <c r="U49" s="54"/>
      <c r="V49" s="46"/>
    </row>
    <row r="50" spans="1:22" ht="90" x14ac:dyDescent="0.3">
      <c r="A50" s="58">
        <v>35</v>
      </c>
      <c r="B50" s="70" t="s">
        <v>175</v>
      </c>
      <c r="C50" s="60" t="s">
        <v>176</v>
      </c>
      <c r="D50" s="60" t="s">
        <v>177</v>
      </c>
      <c r="E50" s="60" t="s">
        <v>178</v>
      </c>
      <c r="F50" s="60" t="s">
        <v>179</v>
      </c>
      <c r="G50" s="58">
        <v>4</v>
      </c>
      <c r="H50" s="69" t="s">
        <v>175</v>
      </c>
      <c r="I50" s="58">
        <v>52</v>
      </c>
      <c r="J50" s="25">
        <f>IF(I50=0.5,G50,I50*G50)</f>
        <v>208</v>
      </c>
      <c r="K50" s="64">
        <v>16</v>
      </c>
      <c r="L50" s="64">
        <v>16</v>
      </c>
      <c r="M50" s="64">
        <v>16</v>
      </c>
      <c r="N50" s="64">
        <v>16</v>
      </c>
      <c r="O50" s="64">
        <v>16</v>
      </c>
      <c r="P50" s="64">
        <v>16</v>
      </c>
      <c r="Q50" s="64">
        <v>16</v>
      </c>
      <c r="R50" s="64">
        <v>16</v>
      </c>
      <c r="S50" s="64">
        <v>16</v>
      </c>
      <c r="T50" s="64">
        <v>16</v>
      </c>
      <c r="U50" s="64">
        <v>16</v>
      </c>
      <c r="V50" s="64">
        <v>16</v>
      </c>
    </row>
    <row r="51" spans="1:22" ht="90" x14ac:dyDescent="0.3">
      <c r="A51" s="58">
        <v>36</v>
      </c>
      <c r="B51" s="70" t="s">
        <v>175</v>
      </c>
      <c r="C51" s="60" t="s">
        <v>176</v>
      </c>
      <c r="D51" s="60" t="s">
        <v>177</v>
      </c>
      <c r="E51" s="60" t="s">
        <v>180</v>
      </c>
      <c r="F51" s="60" t="s">
        <v>181</v>
      </c>
      <c r="G51" s="58">
        <v>4</v>
      </c>
      <c r="H51" s="69" t="s">
        <v>175</v>
      </c>
      <c r="I51" s="58">
        <v>4</v>
      </c>
      <c r="J51" s="25">
        <f>IF(I51=0.5,G51,I51*G51)</f>
        <v>16</v>
      </c>
      <c r="K51" s="64">
        <v>0</v>
      </c>
      <c r="L51" s="64">
        <v>0</v>
      </c>
      <c r="M51" s="64">
        <v>4</v>
      </c>
      <c r="N51" s="64">
        <v>0</v>
      </c>
      <c r="O51" s="64">
        <v>0</v>
      </c>
      <c r="P51" s="64">
        <v>0</v>
      </c>
      <c r="Q51" s="64">
        <v>0</v>
      </c>
      <c r="R51" s="64">
        <v>0</v>
      </c>
      <c r="S51" s="64">
        <v>4</v>
      </c>
      <c r="T51" s="64">
        <v>0</v>
      </c>
      <c r="U51" s="64">
        <v>0</v>
      </c>
      <c r="V51" s="64">
        <v>0</v>
      </c>
    </row>
    <row r="52" spans="1:22" ht="75" x14ac:dyDescent="0.3">
      <c r="A52" s="58">
        <v>37</v>
      </c>
      <c r="B52" s="70" t="s">
        <v>175</v>
      </c>
      <c r="C52" s="60" t="s">
        <v>176</v>
      </c>
      <c r="D52" s="60" t="s">
        <v>177</v>
      </c>
      <c r="E52" s="60" t="s">
        <v>182</v>
      </c>
      <c r="F52" s="60" t="s">
        <v>183</v>
      </c>
      <c r="G52" s="58">
        <v>4</v>
      </c>
      <c r="H52" s="69" t="s">
        <v>175</v>
      </c>
      <c r="I52" s="58">
        <v>1</v>
      </c>
      <c r="J52" s="25">
        <f>IF(I52=0.5,G52,I52*G52)</f>
        <v>4</v>
      </c>
      <c r="K52" s="64">
        <v>0</v>
      </c>
      <c r="L52" s="64">
        <v>0</v>
      </c>
      <c r="M52" s="64">
        <v>0</v>
      </c>
      <c r="N52" s="64">
        <v>0</v>
      </c>
      <c r="O52" s="64">
        <v>0</v>
      </c>
      <c r="P52" s="64">
        <v>0</v>
      </c>
      <c r="Q52" s="64">
        <v>0</v>
      </c>
      <c r="R52" s="64">
        <v>0</v>
      </c>
      <c r="S52" s="64">
        <v>4</v>
      </c>
      <c r="T52" s="64">
        <v>0</v>
      </c>
      <c r="U52" s="64">
        <v>0</v>
      </c>
      <c r="V52" s="64">
        <v>0</v>
      </c>
    </row>
    <row r="53" spans="1:22" ht="75" x14ac:dyDescent="0.3">
      <c r="A53" s="58">
        <v>38</v>
      </c>
      <c r="B53" s="70" t="s">
        <v>175</v>
      </c>
      <c r="C53" s="60" t="s">
        <v>176</v>
      </c>
      <c r="D53" s="60" t="s">
        <v>177</v>
      </c>
      <c r="E53" s="60" t="s">
        <v>184</v>
      </c>
      <c r="F53" s="60" t="s">
        <v>185</v>
      </c>
      <c r="G53" s="58">
        <v>4</v>
      </c>
      <c r="H53" s="69" t="s">
        <v>175</v>
      </c>
      <c r="I53" s="58" t="s">
        <v>75</v>
      </c>
      <c r="J53" s="25">
        <v>0</v>
      </c>
      <c r="K53" s="64">
        <v>0</v>
      </c>
      <c r="L53" s="64">
        <v>0</v>
      </c>
      <c r="M53" s="64">
        <v>4</v>
      </c>
      <c r="N53" s="64">
        <v>0</v>
      </c>
      <c r="O53" s="64">
        <v>0</v>
      </c>
      <c r="P53" s="64">
        <v>0</v>
      </c>
      <c r="Q53" s="64">
        <v>0</v>
      </c>
      <c r="R53" s="64">
        <v>0</v>
      </c>
      <c r="S53" s="64">
        <v>0</v>
      </c>
      <c r="T53" s="64">
        <v>0</v>
      </c>
      <c r="U53" s="64">
        <v>0</v>
      </c>
      <c r="V53" s="64">
        <v>0</v>
      </c>
    </row>
    <row r="54" spans="1:22" x14ac:dyDescent="0.3">
      <c r="A54" s="65"/>
      <c r="B54" s="16"/>
      <c r="C54" s="66" t="s">
        <v>186</v>
      </c>
      <c r="D54" s="44"/>
      <c r="E54" s="23"/>
      <c r="F54" s="23"/>
      <c r="G54" s="23"/>
      <c r="H54" s="23"/>
      <c r="I54" s="23"/>
      <c r="J54" s="23"/>
      <c r="K54" s="23"/>
      <c r="L54" s="23"/>
      <c r="M54" s="23"/>
      <c r="N54" s="23"/>
      <c r="O54" s="53"/>
      <c r="P54" s="53"/>
      <c r="Q54" s="53"/>
      <c r="R54" s="54"/>
      <c r="S54" s="53"/>
      <c r="T54" s="54"/>
      <c r="U54" s="54"/>
      <c r="V54" s="46"/>
    </row>
    <row r="55" spans="1:22" ht="45" x14ac:dyDescent="0.3">
      <c r="A55" s="58">
        <v>39</v>
      </c>
      <c r="B55" s="70" t="s">
        <v>112</v>
      </c>
      <c r="C55" s="60" t="s">
        <v>187</v>
      </c>
      <c r="D55" s="60" t="s">
        <v>188</v>
      </c>
      <c r="E55" s="60" t="s">
        <v>189</v>
      </c>
      <c r="F55" s="60" t="s">
        <v>190</v>
      </c>
      <c r="G55" s="58">
        <v>24</v>
      </c>
      <c r="H55" s="69" t="s">
        <v>156</v>
      </c>
      <c r="I55" s="58">
        <v>52</v>
      </c>
      <c r="J55" s="25">
        <f>IF(I55=0.5,G55,I55*G55)</f>
        <v>1248</v>
      </c>
      <c r="K55" s="64">
        <v>96</v>
      </c>
      <c r="L55" s="64">
        <v>96</v>
      </c>
      <c r="M55" s="64">
        <v>96</v>
      </c>
      <c r="N55" s="64">
        <v>96</v>
      </c>
      <c r="O55" s="64">
        <v>96</v>
      </c>
      <c r="P55" s="64">
        <v>96</v>
      </c>
      <c r="Q55" s="64">
        <v>96</v>
      </c>
      <c r="R55" s="64">
        <v>96</v>
      </c>
      <c r="S55" s="64">
        <v>96</v>
      </c>
      <c r="T55" s="64">
        <v>96</v>
      </c>
      <c r="U55" s="64">
        <v>96</v>
      </c>
      <c r="V55" s="64">
        <v>96</v>
      </c>
    </row>
    <row r="56" spans="1:22" ht="75" x14ac:dyDescent="0.3">
      <c r="A56" s="58">
        <v>40</v>
      </c>
      <c r="B56" s="70" t="s">
        <v>112</v>
      </c>
      <c r="C56" s="60" t="s">
        <v>187</v>
      </c>
      <c r="D56" s="60" t="s">
        <v>188</v>
      </c>
      <c r="E56" s="60" t="s">
        <v>191</v>
      </c>
      <c r="F56" s="60" t="s">
        <v>192</v>
      </c>
      <c r="G56" s="58">
        <v>24</v>
      </c>
      <c r="H56" s="69" t="s">
        <v>156</v>
      </c>
      <c r="I56" s="58">
        <v>4</v>
      </c>
      <c r="J56" s="25">
        <f>IF(I56=0.5,G56,I56*G56)</f>
        <v>96</v>
      </c>
      <c r="K56" s="64">
        <v>0</v>
      </c>
      <c r="L56" s="64">
        <v>0</v>
      </c>
      <c r="M56" s="64">
        <v>24</v>
      </c>
      <c r="N56" s="64">
        <v>0</v>
      </c>
      <c r="O56" s="64">
        <v>0</v>
      </c>
      <c r="P56" s="64">
        <v>24</v>
      </c>
      <c r="Q56" s="64">
        <v>0</v>
      </c>
      <c r="R56" s="64">
        <v>0</v>
      </c>
      <c r="S56" s="64">
        <v>24</v>
      </c>
      <c r="T56" s="64">
        <v>0</v>
      </c>
      <c r="U56" s="64">
        <v>0</v>
      </c>
      <c r="V56" s="64">
        <v>24</v>
      </c>
    </row>
    <row r="57" spans="1:22" ht="255" x14ac:dyDescent="0.3">
      <c r="A57" s="58">
        <v>41</v>
      </c>
      <c r="B57" s="70" t="s">
        <v>112</v>
      </c>
      <c r="C57" s="60" t="s">
        <v>187</v>
      </c>
      <c r="D57" s="60" t="s">
        <v>188</v>
      </c>
      <c r="E57" s="60" t="s">
        <v>193</v>
      </c>
      <c r="F57" s="60" t="s">
        <v>194</v>
      </c>
      <c r="G57" s="58">
        <v>24</v>
      </c>
      <c r="H57" s="69" t="s">
        <v>156</v>
      </c>
      <c r="I57" s="58">
        <v>2</v>
      </c>
      <c r="J57" s="25">
        <f>IF(I57=0.5,G57,I57*G57)</f>
        <v>48</v>
      </c>
      <c r="K57" s="64">
        <v>0</v>
      </c>
      <c r="L57" s="64">
        <v>0</v>
      </c>
      <c r="M57" s="64">
        <v>0</v>
      </c>
      <c r="N57" s="64">
        <v>0</v>
      </c>
      <c r="O57" s="64">
        <v>0</v>
      </c>
      <c r="P57" s="64">
        <v>24</v>
      </c>
      <c r="Q57" s="64">
        <v>0</v>
      </c>
      <c r="R57" s="64">
        <v>0</v>
      </c>
      <c r="S57" s="64">
        <v>0</v>
      </c>
      <c r="T57" s="64">
        <v>0</v>
      </c>
      <c r="U57" s="64">
        <v>0</v>
      </c>
      <c r="V57" s="64">
        <v>24</v>
      </c>
    </row>
    <row r="58" spans="1:22" ht="150" x14ac:dyDescent="0.3">
      <c r="A58" s="58">
        <v>42</v>
      </c>
      <c r="B58" s="70" t="s">
        <v>112</v>
      </c>
      <c r="C58" s="60" t="s">
        <v>187</v>
      </c>
      <c r="D58" s="60" t="s">
        <v>188</v>
      </c>
      <c r="E58" s="60" t="s">
        <v>195</v>
      </c>
      <c r="F58" s="60" t="s">
        <v>196</v>
      </c>
      <c r="G58" s="58">
        <v>24</v>
      </c>
      <c r="H58" s="69" t="s">
        <v>156</v>
      </c>
      <c r="I58" s="58">
        <v>1</v>
      </c>
      <c r="J58" s="25">
        <f>IF(I58=0.5,G58,I58*G58)</f>
        <v>24</v>
      </c>
      <c r="K58" s="64">
        <v>0</v>
      </c>
      <c r="L58" s="64">
        <v>0</v>
      </c>
      <c r="M58" s="64">
        <v>0</v>
      </c>
      <c r="N58" s="64">
        <v>0</v>
      </c>
      <c r="O58" s="64">
        <v>0</v>
      </c>
      <c r="P58" s="64">
        <v>0</v>
      </c>
      <c r="Q58" s="64">
        <v>0</v>
      </c>
      <c r="R58" s="64">
        <v>0</v>
      </c>
      <c r="S58" s="64">
        <v>24</v>
      </c>
      <c r="T58" s="64">
        <v>0</v>
      </c>
      <c r="U58" s="64">
        <v>0</v>
      </c>
      <c r="V58" s="64">
        <v>0</v>
      </c>
    </row>
    <row r="59" spans="1:22" x14ac:dyDescent="0.3">
      <c r="A59" s="65"/>
      <c r="B59" s="16"/>
      <c r="C59" s="66" t="s">
        <v>197</v>
      </c>
      <c r="D59" s="44"/>
      <c r="E59" s="23"/>
      <c r="F59" s="23"/>
      <c r="G59" s="23"/>
      <c r="H59" s="23"/>
      <c r="I59" s="23"/>
      <c r="J59" s="23"/>
      <c r="K59" s="23"/>
      <c r="L59" s="23"/>
      <c r="M59" s="23"/>
      <c r="N59" s="23"/>
      <c r="O59" s="53"/>
      <c r="P59" s="53"/>
      <c r="Q59" s="53"/>
      <c r="R59" s="54"/>
      <c r="S59" s="53"/>
      <c r="T59" s="54"/>
      <c r="U59" s="54"/>
      <c r="V59" s="46"/>
    </row>
    <row r="60" spans="1:22" ht="60" x14ac:dyDescent="0.3">
      <c r="A60" s="58">
        <v>43</v>
      </c>
      <c r="B60" s="70" t="s">
        <v>198</v>
      </c>
      <c r="C60" s="60" t="s">
        <v>199</v>
      </c>
      <c r="D60" s="60" t="s">
        <v>200</v>
      </c>
      <c r="E60" s="60" t="s">
        <v>201</v>
      </c>
      <c r="F60" s="60" t="s">
        <v>202</v>
      </c>
      <c r="G60" s="58">
        <v>24</v>
      </c>
      <c r="H60" s="69" t="s">
        <v>156</v>
      </c>
      <c r="I60" s="58">
        <v>4</v>
      </c>
      <c r="J60" s="25">
        <f>IF(I60=0.5,G60,I60*G60)</f>
        <v>96</v>
      </c>
      <c r="K60" s="64">
        <v>0</v>
      </c>
      <c r="L60" s="64">
        <v>0</v>
      </c>
      <c r="M60" s="64">
        <v>24</v>
      </c>
      <c r="N60" s="64">
        <v>0</v>
      </c>
      <c r="O60" s="64">
        <v>0</v>
      </c>
      <c r="P60" s="64">
        <v>24</v>
      </c>
      <c r="Q60" s="64">
        <v>0</v>
      </c>
      <c r="R60" s="64">
        <v>0</v>
      </c>
      <c r="S60" s="64">
        <v>24</v>
      </c>
      <c r="T60" s="64">
        <v>0</v>
      </c>
      <c r="U60" s="64">
        <v>0</v>
      </c>
      <c r="V60" s="64">
        <v>24</v>
      </c>
    </row>
    <row r="61" spans="1:22" ht="45" x14ac:dyDescent="0.3">
      <c r="A61" s="58">
        <v>44</v>
      </c>
      <c r="B61" s="70" t="s">
        <v>198</v>
      </c>
      <c r="C61" s="60" t="s">
        <v>199</v>
      </c>
      <c r="D61" s="60" t="s">
        <v>200</v>
      </c>
      <c r="E61" s="60" t="s">
        <v>203</v>
      </c>
      <c r="F61" s="60" t="s">
        <v>204</v>
      </c>
      <c r="G61" s="58">
        <v>24</v>
      </c>
      <c r="H61" s="69" t="s">
        <v>156</v>
      </c>
      <c r="I61" s="58">
        <v>3</v>
      </c>
      <c r="J61" s="25">
        <f>IF(I61=0.5,G61,I61*G61)</f>
        <v>72</v>
      </c>
      <c r="K61" s="64">
        <v>0</v>
      </c>
      <c r="L61" s="64">
        <v>0</v>
      </c>
      <c r="M61" s="64">
        <v>24</v>
      </c>
      <c r="N61" s="64">
        <v>0</v>
      </c>
      <c r="O61" s="64">
        <v>0</v>
      </c>
      <c r="P61" s="64">
        <v>0</v>
      </c>
      <c r="Q61" s="64">
        <v>24</v>
      </c>
      <c r="R61" s="64">
        <v>0</v>
      </c>
      <c r="S61" s="64">
        <v>0</v>
      </c>
      <c r="T61" s="64">
        <v>0</v>
      </c>
      <c r="U61" s="64">
        <v>0</v>
      </c>
      <c r="V61" s="64">
        <v>24</v>
      </c>
    </row>
    <row r="62" spans="1:22" ht="195" x14ac:dyDescent="0.3">
      <c r="A62" s="58">
        <v>45</v>
      </c>
      <c r="B62" s="70" t="s">
        <v>198</v>
      </c>
      <c r="C62" s="60" t="s">
        <v>205</v>
      </c>
      <c r="D62" s="60" t="s">
        <v>200</v>
      </c>
      <c r="E62" s="60" t="s">
        <v>206</v>
      </c>
      <c r="F62" s="60" t="s">
        <v>207</v>
      </c>
      <c r="G62" s="58">
        <v>24</v>
      </c>
      <c r="H62" s="69" t="s">
        <v>156</v>
      </c>
      <c r="I62" s="58">
        <v>1</v>
      </c>
      <c r="J62" s="25">
        <f>IF(I62=0.5,G62,I62*G62)</f>
        <v>24</v>
      </c>
      <c r="K62" s="64"/>
      <c r="L62" s="64">
        <v>0</v>
      </c>
      <c r="M62" s="64">
        <v>0</v>
      </c>
      <c r="N62" s="64">
        <v>0</v>
      </c>
      <c r="O62" s="64">
        <v>0</v>
      </c>
      <c r="P62" s="64">
        <v>0</v>
      </c>
      <c r="Q62" s="64">
        <v>0</v>
      </c>
      <c r="R62" s="64">
        <v>0</v>
      </c>
      <c r="S62" s="64">
        <v>24</v>
      </c>
      <c r="T62" s="64">
        <v>0</v>
      </c>
      <c r="U62" s="64">
        <v>0</v>
      </c>
      <c r="V62" s="64">
        <v>0</v>
      </c>
    </row>
    <row r="63" spans="1:22" x14ac:dyDescent="0.3">
      <c r="A63" s="65"/>
      <c r="B63" s="16"/>
      <c r="C63" s="66" t="s">
        <v>208</v>
      </c>
      <c r="D63" s="44"/>
      <c r="E63" s="23"/>
      <c r="F63" s="23"/>
      <c r="G63" s="23"/>
      <c r="H63" s="23"/>
      <c r="I63" s="23"/>
      <c r="J63" s="23"/>
      <c r="K63" s="23"/>
      <c r="L63" s="23"/>
      <c r="M63" s="23"/>
      <c r="N63" s="23"/>
      <c r="O63" s="53"/>
      <c r="P63" s="53"/>
      <c r="Q63" s="53"/>
      <c r="R63" s="54"/>
      <c r="S63" s="53"/>
      <c r="T63" s="54"/>
      <c r="U63" s="54"/>
      <c r="V63" s="46"/>
    </row>
    <row r="64" spans="1:22" ht="60" x14ac:dyDescent="0.3">
      <c r="A64" s="47">
        <v>46</v>
      </c>
      <c r="B64" s="71" t="s">
        <v>198</v>
      </c>
      <c r="C64" s="48" t="s">
        <v>209</v>
      </c>
      <c r="D64" s="49" t="s">
        <v>210</v>
      </c>
      <c r="E64" s="48" t="s">
        <v>211</v>
      </c>
      <c r="F64" s="49" t="s">
        <v>212</v>
      </c>
      <c r="G64" s="47">
        <v>1</v>
      </c>
      <c r="H64" s="72" t="s">
        <v>213</v>
      </c>
      <c r="I64" s="47">
        <v>12</v>
      </c>
      <c r="J64" s="22">
        <f>IF(I64=0.5,G64,I64*G64)</f>
        <v>12</v>
      </c>
      <c r="K64" s="50">
        <v>1</v>
      </c>
      <c r="L64" s="50">
        <v>1</v>
      </c>
      <c r="M64" s="50">
        <v>1</v>
      </c>
      <c r="N64" s="50">
        <v>1</v>
      </c>
      <c r="O64" s="50">
        <v>1</v>
      </c>
      <c r="P64" s="50">
        <v>1</v>
      </c>
      <c r="Q64" s="50">
        <v>1</v>
      </c>
      <c r="R64" s="50">
        <v>1</v>
      </c>
      <c r="S64" s="50">
        <v>1</v>
      </c>
      <c r="T64" s="50">
        <v>1</v>
      </c>
      <c r="U64" s="50">
        <v>1</v>
      </c>
      <c r="V64" s="50">
        <v>1</v>
      </c>
    </row>
    <row r="65" spans="1:22" ht="150" x14ac:dyDescent="0.3">
      <c r="A65" s="47">
        <v>47</v>
      </c>
      <c r="B65" s="71" t="s">
        <v>198</v>
      </c>
      <c r="C65" s="48" t="s">
        <v>209</v>
      </c>
      <c r="D65" s="49" t="s">
        <v>210</v>
      </c>
      <c r="E65" s="48" t="s">
        <v>333</v>
      </c>
      <c r="F65" s="48" t="s">
        <v>215</v>
      </c>
      <c r="G65" s="73">
        <v>1</v>
      </c>
      <c r="H65" s="72" t="s">
        <v>213</v>
      </c>
      <c r="I65" s="47">
        <v>6</v>
      </c>
      <c r="J65" s="22">
        <f>IF(I65=0.5,G65,I65*G65)</f>
        <v>6</v>
      </c>
      <c r="K65" s="50">
        <v>0</v>
      </c>
      <c r="L65" s="50">
        <v>1</v>
      </c>
      <c r="M65" s="50">
        <v>0</v>
      </c>
      <c r="N65" s="50">
        <v>1</v>
      </c>
      <c r="O65" s="50">
        <v>0</v>
      </c>
      <c r="P65" s="50">
        <v>1</v>
      </c>
      <c r="Q65" s="50">
        <v>0</v>
      </c>
      <c r="R65" s="50">
        <v>1</v>
      </c>
      <c r="S65" s="50">
        <v>0</v>
      </c>
      <c r="T65" s="50">
        <v>1</v>
      </c>
      <c r="U65" s="50">
        <v>0</v>
      </c>
      <c r="V65" s="50">
        <v>1</v>
      </c>
    </row>
    <row r="66" spans="1:22" ht="90" x14ac:dyDescent="0.3">
      <c r="A66" s="47">
        <v>48</v>
      </c>
      <c r="B66" s="71" t="s">
        <v>198</v>
      </c>
      <c r="C66" s="48" t="s">
        <v>209</v>
      </c>
      <c r="D66" s="49" t="s">
        <v>210</v>
      </c>
      <c r="E66" s="71" t="s">
        <v>216</v>
      </c>
      <c r="F66" s="71" t="s">
        <v>217</v>
      </c>
      <c r="G66" s="73">
        <v>1</v>
      </c>
      <c r="H66" s="72" t="s">
        <v>213</v>
      </c>
      <c r="I66" s="74">
        <v>2</v>
      </c>
      <c r="J66" s="22">
        <f>IF(I66=0.5,G66,I66*G66)</f>
        <v>2</v>
      </c>
      <c r="K66" s="75">
        <v>0</v>
      </c>
      <c r="L66" s="75">
        <v>0</v>
      </c>
      <c r="M66" s="75">
        <v>1</v>
      </c>
      <c r="N66" s="75">
        <v>0</v>
      </c>
      <c r="O66" s="75">
        <v>0</v>
      </c>
      <c r="P66" s="75">
        <v>0</v>
      </c>
      <c r="Q66" s="75">
        <v>0</v>
      </c>
      <c r="R66" s="75">
        <v>0</v>
      </c>
      <c r="S66" s="75">
        <v>0</v>
      </c>
      <c r="T66" s="75">
        <v>0</v>
      </c>
      <c r="U66" s="75">
        <v>1</v>
      </c>
      <c r="V66" s="75">
        <v>0</v>
      </c>
    </row>
    <row r="67" spans="1:22" ht="90" x14ac:dyDescent="0.3">
      <c r="A67" s="47">
        <v>49</v>
      </c>
      <c r="B67" s="71" t="s">
        <v>198</v>
      </c>
      <c r="C67" s="48" t="s">
        <v>209</v>
      </c>
      <c r="D67" s="49" t="s">
        <v>210</v>
      </c>
      <c r="E67" s="71" t="s">
        <v>218</v>
      </c>
      <c r="F67" s="76" t="s">
        <v>219</v>
      </c>
      <c r="G67" s="73">
        <v>1</v>
      </c>
      <c r="H67" s="72" t="s">
        <v>213</v>
      </c>
      <c r="I67" s="44">
        <v>1</v>
      </c>
      <c r="J67" s="22">
        <f>IF(I67=0.5,G67,I67*G67)</f>
        <v>1</v>
      </c>
      <c r="K67" s="75">
        <v>0</v>
      </c>
      <c r="L67" s="75">
        <v>0</v>
      </c>
      <c r="M67" s="75">
        <v>1</v>
      </c>
      <c r="N67" s="75">
        <v>0</v>
      </c>
      <c r="O67" s="75">
        <v>0</v>
      </c>
      <c r="P67" s="75">
        <v>0</v>
      </c>
      <c r="Q67" s="75">
        <v>0</v>
      </c>
      <c r="R67" s="75">
        <v>0</v>
      </c>
      <c r="S67" s="75">
        <v>0</v>
      </c>
      <c r="T67" s="75">
        <v>0</v>
      </c>
      <c r="U67" s="75">
        <v>0</v>
      </c>
      <c r="V67" s="75">
        <v>0</v>
      </c>
    </row>
    <row r="68" spans="1:22" x14ac:dyDescent="0.3">
      <c r="A68" s="65"/>
      <c r="B68" s="16"/>
      <c r="C68" s="66" t="s">
        <v>220</v>
      </c>
      <c r="D68" s="44"/>
      <c r="E68" s="23"/>
      <c r="F68" s="23"/>
      <c r="G68" s="23"/>
      <c r="H68" s="23"/>
      <c r="I68" s="23"/>
      <c r="J68" s="23"/>
      <c r="K68" s="23"/>
      <c r="L68" s="23"/>
      <c r="M68" s="23"/>
      <c r="N68" s="23"/>
      <c r="O68" s="53"/>
      <c r="P68" s="53"/>
      <c r="Q68" s="53"/>
      <c r="R68" s="54"/>
      <c r="S68" s="53"/>
      <c r="T68" s="54"/>
      <c r="U68" s="54"/>
      <c r="V68" s="46"/>
    </row>
    <row r="69" spans="1:22" ht="300" x14ac:dyDescent="0.3">
      <c r="A69" s="47">
        <v>50</v>
      </c>
      <c r="B69" s="71" t="s">
        <v>198</v>
      </c>
      <c r="C69" s="77" t="s">
        <v>221</v>
      </c>
      <c r="D69" s="49" t="s">
        <v>222</v>
      </c>
      <c r="E69" s="77" t="s">
        <v>223</v>
      </c>
      <c r="F69" s="49" t="s">
        <v>224</v>
      </c>
      <c r="G69" s="78">
        <v>45</v>
      </c>
      <c r="H69" s="79" t="s">
        <v>225</v>
      </c>
      <c r="I69" s="80">
        <v>1</v>
      </c>
      <c r="J69" s="22">
        <f>IF(I69=0.5,G69,I69*G69)</f>
        <v>45</v>
      </c>
      <c r="K69" s="75">
        <v>0</v>
      </c>
      <c r="L69" s="75">
        <v>0</v>
      </c>
      <c r="M69" s="75">
        <v>45</v>
      </c>
      <c r="N69" s="75">
        <v>0</v>
      </c>
      <c r="O69" s="75">
        <v>0</v>
      </c>
      <c r="P69" s="75">
        <v>0</v>
      </c>
      <c r="Q69" s="75">
        <v>0</v>
      </c>
      <c r="R69" s="75">
        <v>0</v>
      </c>
      <c r="S69" s="75">
        <v>0</v>
      </c>
      <c r="T69" s="75">
        <v>0</v>
      </c>
      <c r="U69" s="75">
        <v>45</v>
      </c>
      <c r="V69" s="75">
        <v>0</v>
      </c>
    </row>
    <row r="70" spans="1:22" ht="90" x14ac:dyDescent="0.3">
      <c r="A70" s="47">
        <v>51</v>
      </c>
      <c r="B70" s="71" t="s">
        <v>198</v>
      </c>
      <c r="C70" s="77" t="s">
        <v>221</v>
      </c>
      <c r="D70" s="49" t="s">
        <v>222</v>
      </c>
      <c r="E70" s="77" t="s">
        <v>226</v>
      </c>
      <c r="F70" s="77" t="s">
        <v>227</v>
      </c>
      <c r="G70" s="78">
        <v>45</v>
      </c>
      <c r="H70" s="79" t="s">
        <v>225</v>
      </c>
      <c r="I70" s="80">
        <v>2</v>
      </c>
      <c r="J70" s="22">
        <f>IF(I70=0.5,G70,I70*G70)</f>
        <v>90</v>
      </c>
      <c r="K70" s="75">
        <v>0</v>
      </c>
      <c r="L70" s="75">
        <v>0</v>
      </c>
      <c r="M70" s="75">
        <v>45</v>
      </c>
      <c r="N70" s="75">
        <v>0</v>
      </c>
      <c r="O70" s="75">
        <v>0</v>
      </c>
      <c r="P70" s="75">
        <v>0</v>
      </c>
      <c r="Q70" s="75">
        <v>0</v>
      </c>
      <c r="R70" s="75">
        <v>0</v>
      </c>
      <c r="S70" s="75">
        <v>0</v>
      </c>
      <c r="T70" s="75">
        <v>0</v>
      </c>
      <c r="U70" s="75">
        <v>0</v>
      </c>
      <c r="V70" s="75">
        <v>0</v>
      </c>
    </row>
    <row r="71" spans="1:22" x14ac:dyDescent="0.3">
      <c r="A71" s="47"/>
      <c r="B71" s="16"/>
      <c r="C71" s="81" t="s">
        <v>228</v>
      </c>
      <c r="D71" s="44"/>
      <c r="E71" s="23"/>
      <c r="F71" s="26"/>
      <c r="G71" s="23"/>
      <c r="H71" s="23"/>
      <c r="I71" s="23"/>
      <c r="J71" s="23"/>
      <c r="K71" s="23"/>
      <c r="L71" s="23"/>
      <c r="M71" s="23"/>
      <c r="N71" s="23"/>
      <c r="O71" s="53"/>
      <c r="P71" s="53"/>
      <c r="Q71" s="53"/>
      <c r="R71" s="54"/>
      <c r="S71" s="53"/>
      <c r="T71" s="54"/>
      <c r="U71" s="54"/>
      <c r="V71" s="46"/>
    </row>
    <row r="72" spans="1:22" ht="90" x14ac:dyDescent="0.3">
      <c r="A72" s="47">
        <v>52</v>
      </c>
      <c r="B72" s="48" t="s">
        <v>198</v>
      </c>
      <c r="C72" s="48" t="s">
        <v>229</v>
      </c>
      <c r="D72" s="48" t="s">
        <v>230</v>
      </c>
      <c r="E72" s="48" t="s">
        <v>231</v>
      </c>
      <c r="F72" s="48" t="s">
        <v>232</v>
      </c>
      <c r="G72" s="73">
        <v>45</v>
      </c>
      <c r="H72" s="82" t="s">
        <v>225</v>
      </c>
      <c r="I72" s="73">
        <v>3</v>
      </c>
      <c r="J72" s="22">
        <f t="shared" ref="J72:J87" si="0">IF(I72=0.5,G72,I72*G72)</f>
        <v>135</v>
      </c>
      <c r="K72" s="50">
        <v>0</v>
      </c>
      <c r="L72" s="50">
        <v>0</v>
      </c>
      <c r="M72" s="50">
        <v>0</v>
      </c>
      <c r="N72" s="50">
        <v>45</v>
      </c>
      <c r="O72" s="50">
        <v>0</v>
      </c>
      <c r="P72" s="50">
        <v>0</v>
      </c>
      <c r="Q72" s="50">
        <v>0</v>
      </c>
      <c r="R72" s="50">
        <v>45</v>
      </c>
      <c r="S72" s="50">
        <v>0</v>
      </c>
      <c r="T72" s="50">
        <v>0</v>
      </c>
      <c r="U72" s="50">
        <v>0</v>
      </c>
      <c r="V72" s="50">
        <v>45</v>
      </c>
    </row>
    <row r="73" spans="1:22" ht="165" x14ac:dyDescent="0.3">
      <c r="A73" s="47">
        <v>53</v>
      </c>
      <c r="B73" s="48" t="s">
        <v>198</v>
      </c>
      <c r="C73" s="48" t="s">
        <v>229</v>
      </c>
      <c r="D73" s="48" t="s">
        <v>230</v>
      </c>
      <c r="E73" s="48" t="s">
        <v>233</v>
      </c>
      <c r="F73" s="49" t="s">
        <v>234</v>
      </c>
      <c r="G73" s="47">
        <v>45</v>
      </c>
      <c r="H73" s="82" t="s">
        <v>225</v>
      </c>
      <c r="I73" s="47">
        <v>2</v>
      </c>
      <c r="J73" s="22">
        <f t="shared" si="0"/>
        <v>90</v>
      </c>
      <c r="K73" s="50">
        <v>0</v>
      </c>
      <c r="L73" s="50">
        <v>0</v>
      </c>
      <c r="M73" s="50">
        <v>0</v>
      </c>
      <c r="N73" s="50">
        <v>0</v>
      </c>
      <c r="O73" s="50">
        <v>45</v>
      </c>
      <c r="P73" s="50">
        <v>0</v>
      </c>
      <c r="Q73" s="50">
        <v>0</v>
      </c>
      <c r="R73" s="50">
        <v>0</v>
      </c>
      <c r="S73" s="50">
        <v>0</v>
      </c>
      <c r="T73" s="50">
        <v>0</v>
      </c>
      <c r="U73" s="50">
        <v>45</v>
      </c>
      <c r="V73" s="50">
        <v>0</v>
      </c>
    </row>
    <row r="74" spans="1:22" x14ac:dyDescent="0.3">
      <c r="A74" s="47"/>
      <c r="B74" s="16"/>
      <c r="C74" s="81" t="s">
        <v>235</v>
      </c>
      <c r="D74" s="44"/>
      <c r="E74" s="23"/>
      <c r="F74" s="26"/>
      <c r="G74" s="23"/>
      <c r="H74" s="23"/>
      <c r="I74" s="23"/>
      <c r="J74" s="23"/>
      <c r="K74" s="23"/>
      <c r="L74" s="23"/>
      <c r="M74" s="23"/>
      <c r="N74" s="23"/>
      <c r="O74" s="53"/>
      <c r="P74" s="53"/>
      <c r="Q74" s="53"/>
      <c r="R74" s="54"/>
      <c r="S74" s="53"/>
      <c r="T74" s="54"/>
      <c r="U74" s="54"/>
      <c r="V74" s="46"/>
    </row>
    <row r="75" spans="1:22" ht="60" x14ac:dyDescent="0.3">
      <c r="A75" s="47">
        <v>54</v>
      </c>
      <c r="B75" s="48" t="s">
        <v>198</v>
      </c>
      <c r="C75" s="48" t="s">
        <v>236</v>
      </c>
      <c r="D75" s="49" t="s">
        <v>237</v>
      </c>
      <c r="E75" s="49" t="s">
        <v>238</v>
      </c>
      <c r="F75" s="49" t="s">
        <v>239</v>
      </c>
      <c r="G75" s="47">
        <v>24</v>
      </c>
      <c r="H75" s="72" t="s">
        <v>156</v>
      </c>
      <c r="I75" s="47">
        <v>12</v>
      </c>
      <c r="J75" s="22">
        <f t="shared" si="0"/>
        <v>288</v>
      </c>
      <c r="K75" s="50">
        <v>24</v>
      </c>
      <c r="L75" s="50">
        <v>24</v>
      </c>
      <c r="M75" s="50">
        <v>24</v>
      </c>
      <c r="N75" s="50">
        <v>24</v>
      </c>
      <c r="O75" s="50">
        <v>24</v>
      </c>
      <c r="P75" s="50">
        <v>24</v>
      </c>
      <c r="Q75" s="50">
        <v>24</v>
      </c>
      <c r="R75" s="50">
        <v>24</v>
      </c>
      <c r="S75" s="50">
        <v>24</v>
      </c>
      <c r="T75" s="50">
        <v>24</v>
      </c>
      <c r="U75" s="50">
        <v>24</v>
      </c>
      <c r="V75" s="50">
        <v>24</v>
      </c>
    </row>
    <row r="76" spans="1:22" ht="30" x14ac:dyDescent="0.3">
      <c r="A76" s="47">
        <v>55</v>
      </c>
      <c r="B76" s="48" t="s">
        <v>198</v>
      </c>
      <c r="C76" s="48" t="s">
        <v>236</v>
      </c>
      <c r="D76" s="49" t="s">
        <v>237</v>
      </c>
      <c r="E76" s="48" t="s">
        <v>240</v>
      </c>
      <c r="F76" s="49" t="s">
        <v>241</v>
      </c>
      <c r="G76" s="47">
        <v>24</v>
      </c>
      <c r="H76" s="72" t="s">
        <v>156</v>
      </c>
      <c r="I76" s="47">
        <v>3</v>
      </c>
      <c r="J76" s="22">
        <f t="shared" si="0"/>
        <v>72</v>
      </c>
      <c r="K76" s="50">
        <v>0</v>
      </c>
      <c r="L76" s="50">
        <v>0</v>
      </c>
      <c r="M76" s="50">
        <v>24</v>
      </c>
      <c r="N76" s="50">
        <v>0</v>
      </c>
      <c r="O76" s="50">
        <v>0</v>
      </c>
      <c r="P76" s="50">
        <v>0</v>
      </c>
      <c r="Q76" s="50">
        <v>24</v>
      </c>
      <c r="R76" s="50">
        <v>0</v>
      </c>
      <c r="S76" s="50">
        <v>0</v>
      </c>
      <c r="T76" s="50">
        <v>0</v>
      </c>
      <c r="U76" s="50">
        <v>24</v>
      </c>
      <c r="V76" s="50">
        <v>0</v>
      </c>
    </row>
    <row r="77" spans="1:22" ht="60" x14ac:dyDescent="0.3">
      <c r="A77" s="47">
        <v>56</v>
      </c>
      <c r="B77" s="48" t="s">
        <v>198</v>
      </c>
      <c r="C77" s="48" t="s">
        <v>236</v>
      </c>
      <c r="D77" s="49" t="s">
        <v>237</v>
      </c>
      <c r="E77" s="48" t="s">
        <v>242</v>
      </c>
      <c r="F77" s="49" t="s">
        <v>243</v>
      </c>
      <c r="G77" s="47">
        <v>99</v>
      </c>
      <c r="H77" s="72" t="s">
        <v>156</v>
      </c>
      <c r="I77" s="47">
        <v>2</v>
      </c>
      <c r="J77" s="22">
        <f>IF(I77=0.5,G77,I77*G77)</f>
        <v>198</v>
      </c>
      <c r="K77" s="50">
        <v>99</v>
      </c>
      <c r="L77" s="75">
        <v>0</v>
      </c>
      <c r="M77" s="75">
        <v>0</v>
      </c>
      <c r="N77" s="75">
        <v>0</v>
      </c>
      <c r="O77" s="75">
        <v>0</v>
      </c>
      <c r="P77" s="75">
        <v>0</v>
      </c>
      <c r="Q77" s="75">
        <v>0</v>
      </c>
      <c r="R77" s="75">
        <v>0</v>
      </c>
      <c r="S77" s="75">
        <v>99</v>
      </c>
      <c r="T77" s="75">
        <v>0</v>
      </c>
      <c r="U77" s="75">
        <v>0</v>
      </c>
      <c r="V77" s="75">
        <v>0</v>
      </c>
    </row>
    <row r="78" spans="1:22" x14ac:dyDescent="0.3">
      <c r="A78" s="47"/>
      <c r="B78" s="16"/>
      <c r="C78" s="81" t="s">
        <v>244</v>
      </c>
      <c r="D78" s="44"/>
      <c r="E78" s="23"/>
      <c r="F78" s="26"/>
      <c r="G78" s="23"/>
      <c r="H78" s="23"/>
      <c r="I78" s="23"/>
      <c r="J78" s="23"/>
      <c r="K78" s="23"/>
      <c r="L78" s="23"/>
      <c r="M78" s="23"/>
      <c r="N78" s="23"/>
      <c r="O78" s="53"/>
      <c r="P78" s="53"/>
      <c r="Q78" s="53"/>
      <c r="R78" s="54"/>
      <c r="S78" s="53"/>
      <c r="T78" s="54"/>
      <c r="U78" s="54"/>
      <c r="V78" s="46"/>
    </row>
    <row r="79" spans="1:22" ht="409.15" customHeight="1" x14ac:dyDescent="0.3">
      <c r="A79" s="47">
        <v>57</v>
      </c>
      <c r="B79" s="49" t="s">
        <v>245</v>
      </c>
      <c r="C79" s="48" t="s">
        <v>245</v>
      </c>
      <c r="D79" s="49" t="s">
        <v>246</v>
      </c>
      <c r="E79" s="49" t="s">
        <v>247</v>
      </c>
      <c r="F79" s="49" t="s">
        <v>248</v>
      </c>
      <c r="G79" s="47">
        <v>2</v>
      </c>
      <c r="H79" s="72" t="s">
        <v>249</v>
      </c>
      <c r="I79" s="47">
        <v>12</v>
      </c>
      <c r="J79" s="22">
        <f t="shared" si="0"/>
        <v>24</v>
      </c>
      <c r="K79" s="75">
        <v>2</v>
      </c>
      <c r="L79" s="50">
        <v>2</v>
      </c>
      <c r="M79" s="50">
        <v>2</v>
      </c>
      <c r="N79" s="50">
        <v>2</v>
      </c>
      <c r="O79" s="75">
        <v>2</v>
      </c>
      <c r="P79" s="75">
        <v>2</v>
      </c>
      <c r="Q79" s="75">
        <v>2</v>
      </c>
      <c r="R79" s="75">
        <v>2</v>
      </c>
      <c r="S79" s="75">
        <v>2</v>
      </c>
      <c r="T79" s="75">
        <v>2</v>
      </c>
      <c r="U79" s="75">
        <v>2</v>
      </c>
      <c r="V79" s="75">
        <v>2</v>
      </c>
    </row>
    <row r="80" spans="1:22" ht="45" x14ac:dyDescent="0.3">
      <c r="A80" s="47">
        <v>37</v>
      </c>
      <c r="B80" s="49" t="s">
        <v>245</v>
      </c>
      <c r="C80" s="48" t="s">
        <v>245</v>
      </c>
      <c r="D80" s="49" t="s">
        <v>246</v>
      </c>
      <c r="E80" s="76" t="s">
        <v>250</v>
      </c>
      <c r="F80" s="83" t="s">
        <v>251</v>
      </c>
      <c r="G80" s="84">
        <v>1</v>
      </c>
      <c r="H80" s="85" t="s">
        <v>252</v>
      </c>
      <c r="I80" s="47">
        <v>1</v>
      </c>
      <c r="J80" s="22">
        <f t="shared" si="0"/>
        <v>1</v>
      </c>
      <c r="K80" s="50"/>
      <c r="L80" s="50"/>
      <c r="M80" s="50"/>
      <c r="N80" s="50"/>
      <c r="O80" s="50"/>
      <c r="P80" s="50"/>
      <c r="Q80" s="86"/>
      <c r="R80" s="86">
        <v>1</v>
      </c>
      <c r="S80" s="86"/>
      <c r="T80" s="86"/>
      <c r="U80" s="86"/>
      <c r="V80" s="86"/>
    </row>
    <row r="81" spans="1:22" ht="345" x14ac:dyDescent="0.3">
      <c r="A81" s="47">
        <v>58</v>
      </c>
      <c r="B81" s="49" t="s">
        <v>245</v>
      </c>
      <c r="C81" s="48" t="s">
        <v>245</v>
      </c>
      <c r="D81" s="49" t="s">
        <v>246</v>
      </c>
      <c r="E81" s="76" t="s">
        <v>253</v>
      </c>
      <c r="F81" s="48" t="s">
        <v>254</v>
      </c>
      <c r="G81" s="84">
        <v>1</v>
      </c>
      <c r="H81" s="85" t="s">
        <v>245</v>
      </c>
      <c r="I81" s="47">
        <v>1</v>
      </c>
      <c r="J81" s="22">
        <f t="shared" si="0"/>
        <v>1</v>
      </c>
      <c r="K81" s="50">
        <v>0</v>
      </c>
      <c r="L81" s="50">
        <v>0</v>
      </c>
      <c r="M81" s="50">
        <v>0</v>
      </c>
      <c r="N81" s="50">
        <v>0</v>
      </c>
      <c r="O81" s="50">
        <v>0</v>
      </c>
      <c r="P81" s="50">
        <v>0</v>
      </c>
      <c r="Q81" s="50">
        <v>0</v>
      </c>
      <c r="R81" s="50">
        <v>0</v>
      </c>
      <c r="S81" s="50">
        <v>0</v>
      </c>
      <c r="T81" s="50">
        <v>1</v>
      </c>
      <c r="U81" s="50">
        <v>0</v>
      </c>
      <c r="V81" s="50">
        <v>0</v>
      </c>
    </row>
    <row r="82" spans="1:22" x14ac:dyDescent="0.3">
      <c r="A82" s="47"/>
      <c r="B82" s="16"/>
      <c r="C82" s="81" t="s">
        <v>255</v>
      </c>
      <c r="D82" s="44"/>
      <c r="E82" s="23"/>
      <c r="F82" s="26"/>
      <c r="G82" s="23"/>
      <c r="H82" s="23"/>
      <c r="I82" s="23"/>
      <c r="J82" s="23"/>
      <c r="K82" s="23"/>
      <c r="L82" s="23"/>
      <c r="M82" s="23"/>
      <c r="N82" s="23"/>
      <c r="O82" s="53"/>
      <c r="P82" s="53"/>
      <c r="Q82" s="53"/>
      <c r="R82" s="54"/>
      <c r="S82" s="53"/>
      <c r="T82" s="54"/>
      <c r="U82" s="54"/>
      <c r="V82" s="46"/>
    </row>
    <row r="83" spans="1:22" ht="285.75" thickBot="1" x14ac:dyDescent="0.35">
      <c r="A83" s="47">
        <v>59</v>
      </c>
      <c r="B83" s="83" t="s">
        <v>245</v>
      </c>
      <c r="C83" s="76" t="s">
        <v>256</v>
      </c>
      <c r="D83" s="87" t="s">
        <v>257</v>
      </c>
      <c r="E83" s="76" t="s">
        <v>258</v>
      </c>
      <c r="F83" s="48" t="s">
        <v>259</v>
      </c>
      <c r="G83" s="84">
        <v>2</v>
      </c>
      <c r="H83" s="85" t="s">
        <v>138</v>
      </c>
      <c r="I83" s="47">
        <v>2</v>
      </c>
      <c r="J83" s="22">
        <f t="shared" si="0"/>
        <v>4</v>
      </c>
      <c r="K83" s="50">
        <v>0</v>
      </c>
      <c r="L83" s="50">
        <v>0</v>
      </c>
      <c r="M83" s="50">
        <v>0</v>
      </c>
      <c r="N83" s="50">
        <v>2</v>
      </c>
      <c r="O83" s="50">
        <v>0</v>
      </c>
      <c r="P83" s="50">
        <v>0</v>
      </c>
      <c r="Q83" s="50">
        <v>0</v>
      </c>
      <c r="R83" s="50">
        <v>0</v>
      </c>
      <c r="S83" s="50">
        <v>0</v>
      </c>
      <c r="T83" s="50">
        <v>2</v>
      </c>
      <c r="U83" s="50">
        <v>0</v>
      </c>
      <c r="V83" s="50">
        <v>0</v>
      </c>
    </row>
    <row r="84" spans="1:22" x14ac:dyDescent="0.3">
      <c r="A84" s="47"/>
      <c r="B84" s="16"/>
      <c r="C84" s="81" t="s">
        <v>260</v>
      </c>
      <c r="D84" s="44"/>
      <c r="E84" s="23"/>
      <c r="F84" s="27"/>
      <c r="G84" s="23"/>
      <c r="H84" s="23"/>
      <c r="I84" s="23"/>
      <c r="J84" s="23"/>
      <c r="K84" s="23"/>
      <c r="L84" s="23"/>
      <c r="M84" s="23"/>
      <c r="N84" s="23"/>
      <c r="O84" s="53"/>
      <c r="P84" s="53"/>
      <c r="Q84" s="53"/>
      <c r="R84" s="54"/>
      <c r="S84" s="53"/>
      <c r="T84" s="54"/>
      <c r="U84" s="54"/>
      <c r="V84" s="46"/>
    </row>
    <row r="85" spans="1:22" ht="360.75" thickBot="1" x14ac:dyDescent="0.35">
      <c r="A85" s="47">
        <v>60</v>
      </c>
      <c r="B85" s="83" t="s">
        <v>245</v>
      </c>
      <c r="C85" s="76" t="s">
        <v>261</v>
      </c>
      <c r="D85" s="87" t="s">
        <v>262</v>
      </c>
      <c r="E85" s="88" t="s">
        <v>263</v>
      </c>
      <c r="F85" s="48" t="s">
        <v>264</v>
      </c>
      <c r="G85" s="89">
        <v>2</v>
      </c>
      <c r="H85" s="85" t="s">
        <v>138</v>
      </c>
      <c r="I85" s="47">
        <v>1</v>
      </c>
      <c r="J85" s="22">
        <f t="shared" si="0"/>
        <v>2</v>
      </c>
      <c r="K85" s="50">
        <v>0</v>
      </c>
      <c r="L85" s="50">
        <v>0</v>
      </c>
      <c r="M85" s="50">
        <v>0</v>
      </c>
      <c r="N85" s="50">
        <v>0</v>
      </c>
      <c r="O85" s="50">
        <v>0</v>
      </c>
      <c r="P85" s="50">
        <v>0</v>
      </c>
      <c r="Q85" s="50">
        <v>0</v>
      </c>
      <c r="R85" s="50">
        <v>0</v>
      </c>
      <c r="S85" s="50">
        <v>0</v>
      </c>
      <c r="T85" s="50">
        <v>2</v>
      </c>
      <c r="U85" s="50">
        <v>0</v>
      </c>
      <c r="V85" s="50">
        <v>0</v>
      </c>
    </row>
    <row r="86" spans="1:22" x14ac:dyDescent="0.3">
      <c r="A86" s="47"/>
      <c r="B86" s="16"/>
      <c r="C86" s="81" t="s">
        <v>265</v>
      </c>
      <c r="D86" s="44"/>
      <c r="E86" s="23"/>
      <c r="F86" s="26"/>
      <c r="G86" s="23"/>
      <c r="H86" s="23"/>
      <c r="I86" s="23"/>
      <c r="J86" s="23"/>
      <c r="K86" s="23"/>
      <c r="L86" s="23"/>
      <c r="M86" s="23"/>
      <c r="N86" s="23"/>
      <c r="O86" s="53"/>
      <c r="P86" s="53"/>
      <c r="Q86" s="53"/>
      <c r="R86" s="54"/>
      <c r="S86" s="53"/>
      <c r="T86" s="54"/>
      <c r="U86" s="54"/>
      <c r="V86" s="46"/>
    </row>
    <row r="87" spans="1:22" ht="285.75" thickBot="1" x14ac:dyDescent="0.35">
      <c r="A87" s="47">
        <v>61</v>
      </c>
      <c r="B87" s="83" t="s">
        <v>245</v>
      </c>
      <c r="C87" s="76" t="s">
        <v>266</v>
      </c>
      <c r="D87" s="87" t="s">
        <v>267</v>
      </c>
      <c r="E87" s="76" t="s">
        <v>268</v>
      </c>
      <c r="F87" s="76" t="s">
        <v>269</v>
      </c>
      <c r="G87" s="84">
        <v>2</v>
      </c>
      <c r="H87" s="85" t="s">
        <v>138</v>
      </c>
      <c r="I87" s="47">
        <v>1</v>
      </c>
      <c r="J87" s="22">
        <f t="shared" si="0"/>
        <v>2</v>
      </c>
      <c r="K87" s="50">
        <v>0</v>
      </c>
      <c r="L87" s="50">
        <v>0</v>
      </c>
      <c r="M87" s="50">
        <v>0</v>
      </c>
      <c r="N87" s="50">
        <v>0</v>
      </c>
      <c r="O87" s="50">
        <v>0</v>
      </c>
      <c r="P87" s="50">
        <v>0</v>
      </c>
      <c r="Q87" s="50">
        <v>0</v>
      </c>
      <c r="R87" s="50">
        <v>0</v>
      </c>
      <c r="S87" s="50">
        <v>0</v>
      </c>
      <c r="T87" s="50">
        <v>2</v>
      </c>
      <c r="U87" s="50">
        <v>0</v>
      </c>
      <c r="V87" s="50">
        <v>0</v>
      </c>
    </row>
    <row r="88" spans="1:22" x14ac:dyDescent="0.3">
      <c r="A88" s="65"/>
      <c r="B88" s="16"/>
      <c r="C88" s="66" t="s">
        <v>270</v>
      </c>
      <c r="D88" s="44"/>
      <c r="E88" s="23"/>
      <c r="F88" s="23"/>
      <c r="G88" s="23"/>
      <c r="H88" s="23"/>
      <c r="I88" s="23"/>
      <c r="J88" s="23"/>
      <c r="K88" s="23"/>
      <c r="L88" s="23"/>
      <c r="M88" s="23"/>
      <c r="N88" s="23"/>
      <c r="O88" s="53"/>
      <c r="P88" s="53"/>
      <c r="Q88" s="53"/>
      <c r="R88" s="54"/>
      <c r="S88" s="53"/>
      <c r="T88" s="54"/>
      <c r="U88" s="54"/>
      <c r="V88" s="46"/>
    </row>
    <row r="89" spans="1:22" ht="75" x14ac:dyDescent="0.3">
      <c r="A89" s="47">
        <v>62</v>
      </c>
      <c r="B89" s="71" t="s">
        <v>271</v>
      </c>
      <c r="C89" s="49" t="s">
        <v>272</v>
      </c>
      <c r="D89" s="49" t="s">
        <v>273</v>
      </c>
      <c r="E89" s="49" t="s">
        <v>274</v>
      </c>
      <c r="F89" s="49" t="s">
        <v>275</v>
      </c>
      <c r="G89" s="47">
        <v>1</v>
      </c>
      <c r="H89" s="72" t="s">
        <v>276</v>
      </c>
      <c r="I89" s="47">
        <v>12</v>
      </c>
      <c r="J89" s="22">
        <f>IF(I89=0.5,G89,I89*G89)</f>
        <v>12</v>
      </c>
      <c r="K89" s="50">
        <v>1</v>
      </c>
      <c r="L89" s="50">
        <v>1</v>
      </c>
      <c r="M89" s="50">
        <v>1</v>
      </c>
      <c r="N89" s="50">
        <v>1</v>
      </c>
      <c r="O89" s="50">
        <v>1</v>
      </c>
      <c r="P89" s="50">
        <v>1</v>
      </c>
      <c r="Q89" s="50">
        <v>1</v>
      </c>
      <c r="R89" s="50">
        <v>1</v>
      </c>
      <c r="S89" s="50">
        <v>1</v>
      </c>
      <c r="T89" s="50">
        <v>1</v>
      </c>
      <c r="U89" s="50">
        <v>1</v>
      </c>
      <c r="V89" s="50">
        <v>1</v>
      </c>
    </row>
  </sheetData>
  <mergeCells count="1">
    <mergeCell ref="A1:V1"/>
  </mergeCells>
  <phoneticPr fontId="29" type="noConversion"/>
  <conditionalFormatting sqref="E9:N9">
    <cfRule type="colorScale" priority="23">
      <colorScale>
        <cfvo type="num" val="0"/>
        <cfvo type="num" val="0.5"/>
        <cfvo type="num" val="1"/>
        <color rgb="FFF8696B"/>
        <color rgb="FFFFEB84"/>
        <color rgb="FF63BE7B"/>
      </colorScale>
    </cfRule>
  </conditionalFormatting>
  <conditionalFormatting sqref="E12:N12">
    <cfRule type="colorScale" priority="19">
      <colorScale>
        <cfvo type="num" val="0"/>
        <cfvo type="num" val="0.5"/>
        <cfvo type="num" val="1"/>
        <color rgb="FFF8696B"/>
        <color rgb="FFFFEB84"/>
        <color rgb="FF63BE7B"/>
      </colorScale>
    </cfRule>
  </conditionalFormatting>
  <conditionalFormatting sqref="E15:N15">
    <cfRule type="colorScale" priority="18">
      <colorScale>
        <cfvo type="num" val="0"/>
        <cfvo type="num" val="0.5"/>
        <cfvo type="num" val="1"/>
        <color rgb="FFF8696B"/>
        <color rgb="FFFFEB84"/>
        <color rgb="FF63BE7B"/>
      </colorScale>
    </cfRule>
  </conditionalFormatting>
  <conditionalFormatting sqref="E20:N20">
    <cfRule type="colorScale" priority="22">
      <colorScale>
        <cfvo type="num" val="0"/>
        <cfvo type="num" val="0.5"/>
        <cfvo type="num" val="1"/>
        <color rgb="FFF8696B"/>
        <color rgb="FFFFEB84"/>
        <color rgb="FF63BE7B"/>
      </colorScale>
    </cfRule>
  </conditionalFormatting>
  <conditionalFormatting sqref="E24:N24">
    <cfRule type="colorScale" priority="21">
      <colorScale>
        <cfvo type="num" val="0"/>
        <cfvo type="num" val="0.5"/>
        <cfvo type="num" val="1"/>
        <color rgb="FFF8696B"/>
        <color rgb="FFFFEB84"/>
        <color rgb="FF63BE7B"/>
      </colorScale>
    </cfRule>
  </conditionalFormatting>
  <conditionalFormatting sqref="E28:N28">
    <cfRule type="colorScale" priority="9">
      <colorScale>
        <cfvo type="num" val="0"/>
        <cfvo type="num" val="0.5"/>
        <cfvo type="num" val="1"/>
        <color rgb="FFF8696B"/>
        <color rgb="FFFFEB84"/>
        <color rgb="FF63BE7B"/>
      </colorScale>
    </cfRule>
  </conditionalFormatting>
  <conditionalFormatting sqref="E33:N33">
    <cfRule type="colorScale" priority="8">
      <colorScale>
        <cfvo type="num" val="0"/>
        <cfvo type="num" val="0.5"/>
        <cfvo type="num" val="1"/>
        <color rgb="FFF8696B"/>
        <color rgb="FFFFEB84"/>
        <color rgb="FF63BE7B"/>
      </colorScale>
    </cfRule>
  </conditionalFormatting>
  <conditionalFormatting sqref="E37:N37">
    <cfRule type="colorScale" priority="7">
      <colorScale>
        <cfvo type="num" val="0"/>
        <cfvo type="num" val="0.5"/>
        <cfvo type="num" val="1"/>
        <color rgb="FFF8696B"/>
        <color rgb="FFFFEB84"/>
        <color rgb="FF63BE7B"/>
      </colorScale>
    </cfRule>
  </conditionalFormatting>
  <conditionalFormatting sqref="E40:N40">
    <cfRule type="colorScale" priority="6">
      <colorScale>
        <cfvo type="num" val="0"/>
        <cfvo type="num" val="0.5"/>
        <cfvo type="num" val="1"/>
        <color rgb="FFF8696B"/>
        <color rgb="FFFFEB84"/>
        <color rgb="FF63BE7B"/>
      </colorScale>
    </cfRule>
  </conditionalFormatting>
  <conditionalFormatting sqref="E42:N42">
    <cfRule type="colorScale" priority="2">
      <colorScale>
        <cfvo type="num" val="0"/>
        <cfvo type="num" val="0.5"/>
        <cfvo type="num" val="1"/>
        <color rgb="FFF8696B"/>
        <color rgb="FFFFEB84"/>
        <color rgb="FF63BE7B"/>
      </colorScale>
    </cfRule>
  </conditionalFormatting>
  <conditionalFormatting sqref="E45:N45">
    <cfRule type="colorScale" priority="5">
      <colorScale>
        <cfvo type="num" val="0"/>
        <cfvo type="num" val="0.5"/>
        <cfvo type="num" val="1"/>
        <color rgb="FFF8696B"/>
        <color rgb="FFFFEB84"/>
        <color rgb="FF63BE7B"/>
      </colorScale>
    </cfRule>
  </conditionalFormatting>
  <conditionalFormatting sqref="E49:N49">
    <cfRule type="colorScale" priority="4">
      <colorScale>
        <cfvo type="num" val="0"/>
        <cfvo type="num" val="0.5"/>
        <cfvo type="num" val="1"/>
        <color rgb="FFF8696B"/>
        <color rgb="FFFFEB84"/>
        <color rgb="FF63BE7B"/>
      </colorScale>
    </cfRule>
  </conditionalFormatting>
  <conditionalFormatting sqref="E54:N54">
    <cfRule type="colorScale" priority="3">
      <colorScale>
        <cfvo type="num" val="0"/>
        <cfvo type="num" val="0.5"/>
        <cfvo type="num" val="1"/>
        <color rgb="FFF8696B"/>
        <color rgb="FFFFEB84"/>
        <color rgb="FF63BE7B"/>
      </colorScale>
    </cfRule>
  </conditionalFormatting>
  <conditionalFormatting sqref="E59:N59">
    <cfRule type="colorScale" priority="17">
      <colorScale>
        <cfvo type="num" val="0"/>
        <cfvo type="num" val="0.5"/>
        <cfvo type="num" val="1"/>
        <color rgb="FFF8696B"/>
        <color rgb="FFFFEB84"/>
        <color rgb="FF63BE7B"/>
      </colorScale>
    </cfRule>
  </conditionalFormatting>
  <conditionalFormatting sqref="E63:N63">
    <cfRule type="colorScale" priority="16">
      <colorScale>
        <cfvo type="num" val="0"/>
        <cfvo type="num" val="0.5"/>
        <cfvo type="num" val="1"/>
        <color rgb="FFF8696B"/>
        <color rgb="FFFFEB84"/>
        <color rgb="FF63BE7B"/>
      </colorScale>
    </cfRule>
  </conditionalFormatting>
  <conditionalFormatting sqref="E68:N68">
    <cfRule type="colorScale" priority="15">
      <colorScale>
        <cfvo type="num" val="0"/>
        <cfvo type="num" val="0.5"/>
        <cfvo type="num" val="1"/>
        <color rgb="FFF8696B"/>
        <color rgb="FFFFEB84"/>
        <color rgb="FF63BE7B"/>
      </colorScale>
    </cfRule>
  </conditionalFormatting>
  <conditionalFormatting sqref="E71:N71">
    <cfRule type="colorScale" priority="20">
      <colorScale>
        <cfvo type="num" val="0"/>
        <cfvo type="num" val="0.5"/>
        <cfvo type="num" val="1"/>
        <color rgb="FFF8696B"/>
        <color rgb="FFFFEB84"/>
        <color rgb="FF63BE7B"/>
      </colorScale>
    </cfRule>
  </conditionalFormatting>
  <conditionalFormatting sqref="E74:N74">
    <cfRule type="colorScale" priority="14">
      <colorScale>
        <cfvo type="num" val="0"/>
        <cfvo type="num" val="0.5"/>
        <cfvo type="num" val="1"/>
        <color rgb="FFF8696B"/>
        <color rgb="FFFFEB84"/>
        <color rgb="FF63BE7B"/>
      </colorScale>
    </cfRule>
  </conditionalFormatting>
  <conditionalFormatting sqref="E78:N78">
    <cfRule type="colorScale" priority="13">
      <colorScale>
        <cfvo type="num" val="0"/>
        <cfvo type="num" val="0.5"/>
        <cfvo type="num" val="1"/>
        <color rgb="FFF8696B"/>
        <color rgb="FFFFEB84"/>
        <color rgb="FF63BE7B"/>
      </colorScale>
    </cfRule>
  </conditionalFormatting>
  <conditionalFormatting sqref="E82:N82">
    <cfRule type="colorScale" priority="12">
      <colorScale>
        <cfvo type="num" val="0"/>
        <cfvo type="num" val="0.5"/>
        <cfvo type="num" val="1"/>
        <color rgb="FFF8696B"/>
        <color rgb="FFFFEB84"/>
        <color rgb="FF63BE7B"/>
      </colorScale>
    </cfRule>
  </conditionalFormatting>
  <conditionalFormatting sqref="E84:N84">
    <cfRule type="colorScale" priority="11">
      <colorScale>
        <cfvo type="num" val="0"/>
        <cfvo type="num" val="0.5"/>
        <cfvo type="num" val="1"/>
        <color rgb="FFF8696B"/>
        <color rgb="FFFFEB84"/>
        <color rgb="FF63BE7B"/>
      </colorScale>
    </cfRule>
  </conditionalFormatting>
  <conditionalFormatting sqref="E86:N86">
    <cfRule type="colorScale" priority="10">
      <colorScale>
        <cfvo type="num" val="0"/>
        <cfvo type="num" val="0.5"/>
        <cfvo type="num" val="1"/>
        <color rgb="FFF8696B"/>
        <color rgb="FFFFEB84"/>
        <color rgb="FF63BE7B"/>
      </colorScale>
    </cfRule>
  </conditionalFormatting>
  <conditionalFormatting sqref="E88:N88">
    <cfRule type="colorScale" priority="1">
      <colorScale>
        <cfvo type="num" val="0"/>
        <cfvo type="num" val="0.5"/>
        <cfvo type="num" val="1"/>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53</vt:i4>
      </vt:variant>
    </vt:vector>
  </HeadingPairs>
  <TitlesOfParts>
    <vt:vector size="56" baseType="lpstr">
      <vt:lpstr>Maintenance plan</vt:lpstr>
      <vt:lpstr>Jan-Dec 2026</vt:lpstr>
      <vt:lpstr>PREVENTATIVE MAINTENANCE</vt:lpstr>
      <vt:lpstr>Calendar10Month</vt:lpstr>
      <vt:lpstr>Calendar10Year</vt:lpstr>
      <vt:lpstr>Calendar11Month</vt:lpstr>
      <vt:lpstr>Calendar11Year</vt:lpstr>
      <vt:lpstr>Calendar12Month</vt:lpstr>
      <vt:lpstr>Calendar12Year</vt:lpstr>
      <vt:lpstr>Calendar1Month</vt:lpstr>
      <vt:lpstr>Calendar1Year</vt:lpstr>
      <vt:lpstr>Calendar2Month</vt:lpstr>
      <vt:lpstr>Calendar2Year</vt:lpstr>
      <vt:lpstr>Calendar3Month</vt:lpstr>
      <vt:lpstr>Calendar3Year</vt:lpstr>
      <vt:lpstr>Calendar4Month</vt:lpstr>
      <vt:lpstr>Calendar4Year</vt:lpstr>
      <vt:lpstr>Calendar5Month</vt:lpstr>
      <vt:lpstr>Calendar5Year</vt:lpstr>
      <vt:lpstr>Calendar6Month</vt:lpstr>
      <vt:lpstr>Calendar6Year</vt:lpstr>
      <vt:lpstr>Calendar7Month</vt:lpstr>
      <vt:lpstr>Calendar7Year</vt:lpstr>
      <vt:lpstr>Calendar8Month</vt:lpstr>
      <vt:lpstr>Calendar8Year</vt:lpstr>
      <vt:lpstr>Calendar9Month</vt:lpstr>
      <vt:lpstr>Calendar9Year</vt:lpstr>
      <vt:lpstr>ColumnTitleRegion1..H12.1</vt:lpstr>
      <vt:lpstr>ColumnTitleRegion10..H54.1</vt:lpstr>
      <vt:lpstr>ColumnTitleRegion11..C56.1</vt:lpstr>
      <vt:lpstr>ColumnTitleRegion13..H68.1</vt:lpstr>
      <vt:lpstr>ColumnTitleRegion14..C70.1</vt:lpstr>
      <vt:lpstr>ColumnTitleRegion16..H82.1</vt:lpstr>
      <vt:lpstr>ColumnTitleRegion17..C84.1</vt:lpstr>
      <vt:lpstr>ColumnTitleRegion18..D84.1</vt:lpstr>
      <vt:lpstr>ColumnTitleRegion19..H96.1</vt:lpstr>
      <vt:lpstr>ColumnTitleRegion2..C14.1</vt:lpstr>
      <vt:lpstr>ColumnTitleRegion20..C98.1</vt:lpstr>
      <vt:lpstr>ColumnTitleRegion22..H110.1</vt:lpstr>
      <vt:lpstr>ColumnTitleRegion23..C112.1</vt:lpstr>
      <vt:lpstr>ColumnTitleRegion25..H124.1</vt:lpstr>
      <vt:lpstr>ColumnTitleRegion26..C126.1</vt:lpstr>
      <vt:lpstr>ColumnTitleRegion28..H138.1</vt:lpstr>
      <vt:lpstr>ColumnTitleRegion29..C140.1</vt:lpstr>
      <vt:lpstr>ColumnTitleRegion30..D140.1</vt:lpstr>
      <vt:lpstr>ColumnTitleRegion31..H152.1</vt:lpstr>
      <vt:lpstr>ColumnTitleRegion32..C154.1</vt:lpstr>
      <vt:lpstr>ColumnTitleRegion33..D154.1</vt:lpstr>
      <vt:lpstr>ColumnTitleRegion34..H166.1</vt:lpstr>
      <vt:lpstr>ColumnTitleRegion35..C168.1</vt:lpstr>
      <vt:lpstr>ColumnTitleRegion4..H26.1</vt:lpstr>
      <vt:lpstr>ColumnTitleRegion5..C28.1</vt:lpstr>
      <vt:lpstr>ColumnTitleRegion7..H40.1</vt:lpstr>
      <vt:lpstr>ColumnTitleRegion8..C42.1</vt:lpstr>
      <vt:lpstr>'Jan-Dec 2026'!Print_Area</vt:lpstr>
      <vt:lpstr>WeekStart</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Prince Matlala</dc:creator>
  <cp:lastModifiedBy>Tumelo Mangole</cp:lastModifiedBy>
  <cp:lastPrinted>2024-06-05T06:18:57Z</cp:lastPrinted>
  <dcterms:created xsi:type="dcterms:W3CDTF">2018-02-18T23:49:08Z</dcterms:created>
  <dcterms:modified xsi:type="dcterms:W3CDTF">2026-01-12T13:06:17Z</dcterms:modified>
</cp:coreProperties>
</file>