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F45B836-D756-484D-8074-8B851B493E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entor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" i="1" l="1"/>
  <c r="F137" i="1"/>
  <c r="F255" i="1"/>
  <c r="F123" i="1"/>
  <c r="F105" i="1"/>
  <c r="F83" i="1"/>
  <c r="F74" i="1"/>
  <c r="F70" i="1"/>
  <c r="F44" i="1"/>
  <c r="F30" i="1"/>
  <c r="F27" i="1"/>
  <c r="F18" i="1"/>
  <c r="F8" i="1"/>
  <c r="F234" i="1"/>
  <c r="F214" i="1"/>
  <c r="F200" i="1"/>
  <c r="F273" i="1"/>
  <c r="F281" i="1"/>
  <c r="F302" i="1"/>
  <c r="F316" i="1"/>
</calcChain>
</file>

<file path=xl/sharedStrings.xml><?xml version="1.0" encoding="utf-8"?>
<sst xmlns="http://schemas.openxmlformats.org/spreadsheetml/2006/main" count="722" uniqueCount="486">
  <si>
    <r>
      <rPr>
        <b/>
        <sz val="14"/>
        <color rgb="FF000080"/>
        <rFont val="Calibri"/>
        <family val="1"/>
      </rPr>
      <t>Inventory Count Listing</t>
    </r>
  </si>
  <si>
    <r>
      <rPr>
        <sz val="14"/>
        <rFont val="Calibri"/>
        <family val="1"/>
      </rPr>
      <t>Core Energy (RF) Pty Limited</t>
    </r>
  </si>
  <si>
    <r>
      <rPr>
        <sz val="8"/>
        <color rgb="FF808080"/>
        <rFont val="Calibri"/>
        <family val="1"/>
      </rPr>
      <t>Inventory Count Listing</t>
    </r>
  </si>
  <si>
    <r>
      <rPr>
        <b/>
        <u/>
        <sz val="8"/>
        <rFont val="Calibri"/>
        <family val="1"/>
      </rPr>
      <t>Section</t>
    </r>
  </si>
  <si>
    <r>
      <rPr>
        <b/>
        <u/>
        <sz val="8"/>
        <rFont val="Calibri"/>
        <family val="1"/>
      </rPr>
      <t>Item Code</t>
    </r>
  </si>
  <si>
    <r>
      <rPr>
        <b/>
        <u/>
        <sz val="8"/>
        <rFont val="Calibri"/>
        <family val="1"/>
      </rPr>
      <t>Item Description</t>
    </r>
  </si>
  <si>
    <r>
      <rPr>
        <b/>
        <u/>
        <sz val="8"/>
        <rFont val="Calibri"/>
        <family val="1"/>
      </rPr>
      <t>Part Type</t>
    </r>
  </si>
  <si>
    <r>
      <rPr>
        <b/>
        <u/>
        <sz val="8"/>
        <rFont val="Calibri"/>
        <family val="1"/>
      </rPr>
      <t>MinLeve</t>
    </r>
    <r>
      <rPr>
        <b/>
        <sz val="8"/>
        <rFont val="Calibri"/>
        <family val="1"/>
      </rPr>
      <t>l</t>
    </r>
  </si>
  <si>
    <r>
      <rPr>
        <b/>
        <u/>
        <sz val="8"/>
        <rFont val="Calibri"/>
        <family val="1"/>
      </rPr>
      <t>Actual Qty</t>
    </r>
  </si>
  <si>
    <r>
      <rPr>
        <b/>
        <sz val="8"/>
        <rFont val="Calibri"/>
        <family val="1"/>
      </rPr>
      <t>AC Meter Cabinet  (AC Meter Cabinet)</t>
    </r>
  </si>
  <si>
    <r>
      <rPr>
        <sz val="8"/>
        <rFont val="Calibri"/>
        <family val="1"/>
      </rPr>
      <t>Cewe AC Prometer</t>
    </r>
  </si>
  <si>
    <r>
      <rPr>
        <sz val="8"/>
        <rFont val="Calibri"/>
        <family val="1"/>
      </rPr>
      <t>Cewe RS232 to Ethernet Module</t>
    </r>
  </si>
  <si>
    <r>
      <rPr>
        <sz val="8"/>
        <rFont val="Calibri"/>
        <family val="1"/>
      </rPr>
      <t>Minor</t>
    </r>
  </si>
  <si>
    <r>
      <rPr>
        <b/>
        <sz val="8"/>
        <rFont val="Calibri"/>
        <family val="1"/>
      </rPr>
      <t>Totals</t>
    </r>
  </si>
  <si>
    <r>
      <rPr>
        <b/>
        <sz val="8"/>
        <rFont val="Calibri"/>
        <family val="1"/>
      </rPr>
      <t>Communication Box  (Communication Box)</t>
    </r>
  </si>
  <si>
    <r>
      <rPr>
        <sz val="8"/>
        <rFont val="Calibri"/>
        <family val="1"/>
      </rPr>
      <t>FiberOpticConnection</t>
    </r>
  </si>
  <si>
    <r>
      <rPr>
        <sz val="8"/>
        <rFont val="Calibri"/>
        <family val="1"/>
      </rPr>
      <t>Fiber Optic Connection Housing</t>
    </r>
  </si>
  <si>
    <r>
      <rPr>
        <sz val="8"/>
        <rFont val="Calibri"/>
        <family val="1"/>
      </rPr>
      <t>1SVR427034R0000</t>
    </r>
  </si>
  <si>
    <r>
      <rPr>
        <sz val="8"/>
        <rFont val="Calibri"/>
        <family val="1"/>
      </rPr>
      <t>CP-E-24-5.0 Regulated Power supply In: 115/230VAC</t>
    </r>
  </si>
  <si>
    <r>
      <rPr>
        <sz val="8"/>
        <rFont val="Calibri"/>
        <family val="1"/>
      </rPr>
      <t>2CTB804821R0000</t>
    </r>
  </si>
  <si>
    <r>
      <rPr>
        <sz val="8"/>
        <rFont val="Calibri"/>
        <family val="1"/>
      </rPr>
      <t>Surge Arrestors OVR TC 06VC</t>
    </r>
  </si>
  <si>
    <r>
      <rPr>
        <sz val="8"/>
        <rFont val="Calibri"/>
        <family val="1"/>
      </rPr>
      <t>2CTB804820R0000</t>
    </r>
  </si>
  <si>
    <r>
      <rPr>
        <sz val="8"/>
        <rFont val="Calibri"/>
        <family val="1"/>
      </rPr>
      <t>Surge Arrestors OVR TC 06VP</t>
    </r>
  </si>
  <si>
    <r>
      <rPr>
        <sz val="8"/>
        <rFont val="Calibri"/>
        <family val="1"/>
      </rPr>
      <t>EKI1224BE</t>
    </r>
  </si>
  <si>
    <r>
      <rPr>
        <sz val="8"/>
        <rFont val="Calibri"/>
        <family val="1"/>
      </rPr>
      <t>EKI 1224 BE 4 Port Modbus Gateway</t>
    </r>
  </si>
  <si>
    <r>
      <rPr>
        <sz val="8"/>
        <rFont val="Calibri"/>
        <family val="1"/>
      </rPr>
      <t>PG5-R2</t>
    </r>
  </si>
  <si>
    <r>
      <rPr>
        <sz val="8"/>
        <rFont val="Calibri"/>
        <family val="1"/>
      </rPr>
      <t>120 Ohm Terminal Resistor</t>
    </r>
  </si>
  <si>
    <r>
      <rPr>
        <sz val="8"/>
        <rFont val="Calibri"/>
        <family val="1"/>
      </rPr>
      <t>CP-E24/5.0</t>
    </r>
  </si>
  <si>
    <r>
      <rPr>
        <sz val="8"/>
        <rFont val="Calibri"/>
        <family val="1"/>
      </rPr>
      <t>Regulated Power Supply Amp 24 Vdc CP-E24/5</t>
    </r>
  </si>
  <si>
    <r>
      <rPr>
        <sz val="8"/>
        <rFont val="Calibri"/>
        <family val="1"/>
      </rPr>
      <t>943 434-005</t>
    </r>
  </si>
  <si>
    <r>
      <rPr>
        <sz val="8"/>
        <rFont val="Calibri"/>
        <family val="1"/>
      </rPr>
      <t>Communication Cabinet  Hirschmann Ethernet Switch</t>
    </r>
  </si>
  <si>
    <r>
      <rPr>
        <b/>
        <sz val="8"/>
        <rFont val="Calibri"/>
        <family val="1"/>
      </rPr>
      <t>DC Combiner Board  (DC Combiner Board)</t>
    </r>
  </si>
  <si>
    <r>
      <rPr>
        <sz val="8"/>
        <rFont val="Calibri"/>
        <family val="1"/>
      </rPr>
      <t>M223A8</t>
    </r>
  </si>
  <si>
    <r>
      <rPr>
        <sz val="8"/>
        <rFont val="Calibri"/>
        <family val="1"/>
      </rPr>
      <t>DC Meter DH96CPM Circutor</t>
    </r>
  </si>
  <si>
    <r>
      <rPr>
        <sz val="8"/>
        <rFont val="Calibri"/>
        <family val="1"/>
      </rPr>
      <t>Fuse Holders NH3 630A</t>
    </r>
  </si>
  <si>
    <r>
      <rPr>
        <sz val="8"/>
        <rFont val="Calibri"/>
        <family val="1"/>
      </rPr>
      <t>Micro Switches NH Fuses</t>
    </r>
  </si>
  <si>
    <r>
      <rPr>
        <sz val="8"/>
        <rFont val="Calibri"/>
        <family val="1"/>
      </rPr>
      <t>WT - 6</t>
    </r>
  </si>
  <si>
    <r>
      <rPr>
        <sz val="8"/>
        <rFont val="Calibri"/>
        <family val="1"/>
      </rPr>
      <t>M6mm Din Rail Terminal Blocks</t>
    </r>
  </si>
  <si>
    <r>
      <rPr>
        <sz val="8"/>
        <rFont val="Calibri"/>
        <family val="1"/>
      </rPr>
      <t>WT - 2.5</t>
    </r>
  </si>
  <si>
    <r>
      <rPr>
        <sz val="8"/>
        <rFont val="Calibri"/>
        <family val="1"/>
      </rPr>
      <t>M2.5mm Din Rail Terminal Blocks</t>
    </r>
  </si>
  <si>
    <r>
      <rPr>
        <sz val="8"/>
        <rFont val="Calibri"/>
        <family val="1"/>
      </rPr>
      <t>WT - 2.5  PE</t>
    </r>
  </si>
  <si>
    <r>
      <rPr>
        <sz val="8"/>
        <rFont val="Calibri"/>
        <family val="1"/>
      </rPr>
      <t>M2.5mm Earth Terminals</t>
    </r>
  </si>
  <si>
    <r>
      <rPr>
        <b/>
        <sz val="8"/>
        <rFont val="Calibri"/>
        <family val="1"/>
      </rPr>
      <t>Earthwire   (Earthwire)</t>
    </r>
  </si>
  <si>
    <r>
      <rPr>
        <sz val="8"/>
        <rFont val="Calibri"/>
        <family val="1"/>
      </rPr>
      <t>Earthwire 25m2</t>
    </r>
  </si>
  <si>
    <r>
      <rPr>
        <b/>
        <sz val="8"/>
        <rFont val="Calibri"/>
        <family val="1"/>
      </rPr>
      <t>Electric Fence  (Electric Fence)</t>
    </r>
  </si>
  <si>
    <r>
      <rPr>
        <sz val="8"/>
        <rFont val="Calibri"/>
        <family val="1"/>
      </rPr>
      <t>EE-M2ZKP</t>
    </r>
  </si>
  <si>
    <r>
      <rPr>
        <sz val="8"/>
        <rFont val="Calibri"/>
        <family val="1"/>
      </rPr>
      <t>Merlin Control Panel</t>
    </r>
  </si>
  <si>
    <r>
      <rPr>
        <sz val="8"/>
        <rFont val="Calibri"/>
        <family val="1"/>
      </rPr>
      <t>Siren 9-230Vdc</t>
    </r>
  </si>
  <si>
    <r>
      <rPr>
        <sz val="8"/>
        <rFont val="Calibri"/>
        <family val="1"/>
      </rPr>
      <t>SR-STRN</t>
    </r>
  </si>
  <si>
    <r>
      <rPr>
        <sz val="8"/>
        <rFont val="Calibri"/>
        <family val="1"/>
      </rPr>
      <t>Strobe Light 12 Vdc</t>
    </r>
  </si>
  <si>
    <r>
      <rPr>
        <sz val="8"/>
        <rFont val="Calibri"/>
        <family val="1"/>
      </rPr>
      <t>EA-F6S</t>
    </r>
  </si>
  <si>
    <r>
      <rPr>
        <sz val="8"/>
        <rFont val="Calibri"/>
        <family val="1"/>
      </rPr>
      <t>Ferrules 6mm</t>
    </r>
  </si>
  <si>
    <r>
      <rPr>
        <sz val="8"/>
        <rFont val="Calibri"/>
        <family val="1"/>
      </rPr>
      <t>EA-F10</t>
    </r>
  </si>
  <si>
    <r>
      <rPr>
        <sz val="8"/>
        <rFont val="Calibri"/>
        <family val="1"/>
      </rPr>
      <t>Ferrules 10mm</t>
    </r>
  </si>
  <si>
    <r>
      <rPr>
        <sz val="8"/>
        <rFont val="Calibri"/>
        <family val="1"/>
      </rPr>
      <t>EA-F16</t>
    </r>
  </si>
  <si>
    <r>
      <rPr>
        <sz val="8"/>
        <rFont val="Calibri"/>
        <family val="1"/>
      </rPr>
      <t>Ferrules 16mm</t>
    </r>
  </si>
  <si>
    <r>
      <rPr>
        <sz val="8"/>
        <rFont val="Calibri"/>
        <family val="1"/>
      </rPr>
      <t>1.5mmBluePanelWire</t>
    </r>
  </si>
  <si>
    <r>
      <rPr>
        <sz val="8"/>
        <rFont val="Calibri"/>
        <family val="1"/>
      </rPr>
      <t>1.5mm Blue Panel Wire (Meters)</t>
    </r>
  </si>
  <si>
    <r>
      <rPr>
        <sz val="8"/>
        <rFont val="Calibri"/>
        <family val="1"/>
      </rPr>
      <t>1.5mmBlackPanelWire</t>
    </r>
  </si>
  <si>
    <r>
      <rPr>
        <sz val="8"/>
        <rFont val="Calibri"/>
        <family val="1"/>
      </rPr>
      <t>1.5mm Black Panel Wire (Meters)</t>
    </r>
  </si>
  <si>
    <r>
      <rPr>
        <sz val="8"/>
        <rFont val="Calibri"/>
        <family val="1"/>
      </rPr>
      <t>SignsPlastic</t>
    </r>
  </si>
  <si>
    <r>
      <rPr>
        <sz val="8"/>
        <rFont val="Calibri"/>
        <family val="1"/>
      </rPr>
      <t>Signs Plastic (Danger Electric Fence)</t>
    </r>
  </si>
  <si>
    <r>
      <rPr>
        <sz val="8"/>
        <rFont val="Calibri"/>
        <family val="1"/>
      </rPr>
      <t>ElectFencePlastInsul</t>
    </r>
  </si>
  <si>
    <r>
      <rPr>
        <sz val="8"/>
        <rFont val="Calibri"/>
        <family val="1"/>
      </rPr>
      <t>Electric Fence Plastic Insulators Polymould</t>
    </r>
  </si>
  <si>
    <r>
      <rPr>
        <b/>
        <sz val="8"/>
        <rFont val="Calibri"/>
        <family val="1"/>
      </rPr>
      <t>EPC Spares   (EPC Spares )</t>
    </r>
  </si>
  <si>
    <r>
      <rPr>
        <sz val="8"/>
        <rFont val="Calibri"/>
        <family val="1"/>
      </rPr>
      <t>Combiner box units</t>
    </r>
  </si>
  <si>
    <r>
      <rPr>
        <sz val="8"/>
        <rFont val="Calibri"/>
        <family val="1"/>
      </rPr>
      <t>Torqtube125x125Assem</t>
    </r>
  </si>
  <si>
    <r>
      <rPr>
        <sz val="8"/>
        <rFont val="Calibri"/>
        <family val="1"/>
      </rPr>
      <t>Torque tube 125 x 125 Assembly M - TR - WD - 007</t>
    </r>
  </si>
  <si>
    <r>
      <rPr>
        <sz val="8"/>
        <rFont val="Calibri"/>
        <family val="1"/>
      </rPr>
      <t>Bushing125x125M</t>
    </r>
  </si>
  <si>
    <r>
      <rPr>
        <sz val="8"/>
        <rFont val="Calibri"/>
        <family val="1"/>
      </rPr>
      <t>Bushing 125 x 125  M - TR -  PA - 014</t>
    </r>
  </si>
  <si>
    <r>
      <rPr>
        <sz val="8"/>
        <rFont val="Calibri"/>
        <family val="1"/>
      </rPr>
      <t>LeverArmPlate2m</t>
    </r>
  </si>
  <si>
    <r>
      <rPr>
        <sz val="8"/>
        <rFont val="Calibri"/>
        <family val="1"/>
      </rPr>
      <t>Lever Arm Plate  2 m M- TR - PA - 024</t>
    </r>
  </si>
  <si>
    <r>
      <rPr>
        <sz val="8"/>
        <rFont val="Calibri"/>
        <family val="1"/>
      </rPr>
      <t>LeverArmWeldAssem</t>
    </r>
  </si>
  <si>
    <r>
      <rPr>
        <sz val="8"/>
        <rFont val="Calibri"/>
        <family val="1"/>
      </rPr>
      <t>Lever Arm Weld Assembly  M - TR - WD - 010</t>
    </r>
  </si>
  <si>
    <r>
      <rPr>
        <sz val="8"/>
        <rFont val="Calibri"/>
        <family val="1"/>
      </rPr>
      <t>DriveLinkWeldAssem</t>
    </r>
  </si>
  <si>
    <r>
      <rPr>
        <sz val="8"/>
        <rFont val="Calibri"/>
        <family val="1"/>
      </rPr>
      <t>Drive Linkage Weld Assembly  M- TR - WD  - 009</t>
    </r>
  </si>
  <si>
    <r>
      <rPr>
        <sz val="8"/>
        <rFont val="Calibri"/>
        <family val="1"/>
      </rPr>
      <t>LinkageBoltD40</t>
    </r>
  </si>
  <si>
    <r>
      <rPr>
        <sz val="8"/>
        <rFont val="Calibri"/>
        <family val="1"/>
      </rPr>
      <t>Linkage Bolt  D 40 M - TR - PA  - 030</t>
    </r>
  </si>
  <si>
    <r>
      <rPr>
        <sz val="8"/>
        <rFont val="Calibri"/>
        <family val="1"/>
      </rPr>
      <t>BedFrameElephantEar</t>
    </r>
  </si>
  <si>
    <r>
      <rPr>
        <sz val="8"/>
        <rFont val="Calibri"/>
        <family val="1"/>
      </rPr>
      <t>Bed Frame Elephant Ear  M - TR - WD  - 005</t>
    </r>
  </si>
  <si>
    <r>
      <rPr>
        <sz val="8"/>
        <rFont val="Calibri"/>
        <family val="1"/>
      </rPr>
      <t>PotentEqualWire</t>
    </r>
  </si>
  <si>
    <r>
      <rPr>
        <sz val="8"/>
        <rFont val="Calibri"/>
        <family val="1"/>
      </rPr>
      <t>Potential Equalisation Wire M- TR - PA  -043</t>
    </r>
  </si>
  <si>
    <r>
      <rPr>
        <sz val="8"/>
        <rFont val="Calibri"/>
        <family val="1"/>
      </rPr>
      <t>ML Panel Structure</t>
    </r>
  </si>
  <si>
    <r>
      <rPr>
        <sz val="8"/>
        <rFont val="Calibri"/>
        <family val="1"/>
      </rPr>
      <t>Panel Clamp KIT</t>
    </r>
  </si>
  <si>
    <r>
      <rPr>
        <sz val="8"/>
        <rFont val="Calibri"/>
        <family val="1"/>
      </rPr>
      <t>Control Box for Screw jack &amp; Motor Unit  ACTUATOR</t>
    </r>
  </si>
  <si>
    <r>
      <rPr>
        <sz val="8"/>
        <rFont val="Calibri"/>
        <family val="1"/>
      </rPr>
      <t>1ZSCT21002398</t>
    </r>
  </si>
  <si>
    <r>
      <rPr>
        <sz val="8"/>
        <rFont val="Calibri"/>
        <family val="1"/>
      </rPr>
      <t>LV 22kV Bushing     20 MVA Transformer</t>
    </r>
  </si>
  <si>
    <r>
      <rPr>
        <sz val="8"/>
        <rFont val="Calibri"/>
        <family val="1"/>
      </rPr>
      <t>Major</t>
    </r>
  </si>
  <si>
    <r>
      <rPr>
        <sz val="8"/>
        <rFont val="Calibri"/>
        <family val="1"/>
      </rPr>
      <t>Digital Thermometer</t>
    </r>
  </si>
  <si>
    <r>
      <rPr>
        <sz val="8"/>
        <rFont val="Calibri"/>
        <family val="1"/>
      </rPr>
      <t>530704-4</t>
    </r>
  </si>
  <si>
    <r>
      <rPr>
        <sz val="8"/>
        <rFont val="Calibri"/>
        <family val="1"/>
      </rPr>
      <t>Winding temperature Thermometer Analogue</t>
    </r>
  </si>
  <si>
    <r>
      <rPr>
        <sz val="8"/>
        <rFont val="Calibri"/>
        <family val="1"/>
      </rPr>
      <t>Y220FGM</t>
    </r>
  </si>
  <si>
    <r>
      <rPr>
        <sz val="8"/>
        <rFont val="Calibri"/>
        <family val="1"/>
      </rPr>
      <t>Oil level Indicator Main Conservator tank</t>
    </r>
  </si>
  <si>
    <r>
      <rPr>
        <sz val="8"/>
        <rFont val="Calibri"/>
        <family val="1"/>
      </rPr>
      <t>R140FGM</t>
    </r>
  </si>
  <si>
    <r>
      <rPr>
        <sz val="8"/>
        <rFont val="Calibri"/>
        <family val="1"/>
      </rPr>
      <t>Oil level Indicator Tapchanger Conservator tank</t>
    </r>
  </si>
  <si>
    <r>
      <rPr>
        <sz val="8"/>
        <rFont val="Calibri"/>
        <family val="1"/>
      </rPr>
      <t>Airbreatherconserv</t>
    </r>
  </si>
  <si>
    <r>
      <rPr>
        <sz val="8"/>
        <rFont val="Calibri"/>
        <family val="1"/>
      </rPr>
      <t>Air breather for conservator TX 5</t>
    </r>
  </si>
  <si>
    <r>
      <rPr>
        <sz val="8"/>
        <rFont val="Calibri"/>
        <family val="1"/>
      </rPr>
      <t>ComCloseCoilAssem</t>
    </r>
  </si>
  <si>
    <r>
      <rPr>
        <sz val="8"/>
        <rFont val="Calibri"/>
        <family val="1"/>
      </rPr>
      <t>Complete Close Coil Assembly</t>
    </r>
  </si>
  <si>
    <r>
      <rPr>
        <sz val="8"/>
        <rFont val="Calibri"/>
        <family val="1"/>
      </rPr>
      <t>CompTripCoilAssem</t>
    </r>
  </si>
  <si>
    <r>
      <rPr>
        <sz val="8"/>
        <rFont val="Calibri"/>
        <family val="1"/>
      </rPr>
      <t>Complete Trip coil Assembly</t>
    </r>
  </si>
  <si>
    <r>
      <rPr>
        <sz val="8"/>
        <rFont val="Calibri"/>
        <family val="1"/>
      </rPr>
      <t>Assem132kvBreakppole</t>
    </r>
  </si>
  <si>
    <r>
      <rPr>
        <sz val="8"/>
        <rFont val="Calibri"/>
        <family val="1"/>
      </rPr>
      <t>Complete Assembly 132 kv Breaker phase pole</t>
    </r>
  </si>
  <si>
    <r>
      <rPr>
        <sz val="8"/>
        <rFont val="Calibri"/>
        <family val="1"/>
      </rPr>
      <t>SF6GasFillDevPressGa</t>
    </r>
  </si>
  <si>
    <r>
      <rPr>
        <sz val="8"/>
        <rFont val="Calibri"/>
        <family val="1"/>
      </rPr>
      <t>SF6 Gas FILLING Device With Pressure Gauge</t>
    </r>
  </si>
  <si>
    <r>
      <rPr>
        <sz val="8"/>
        <rFont val="Calibri"/>
        <family val="1"/>
      </rPr>
      <t>1SL0225A00</t>
    </r>
  </si>
  <si>
    <r>
      <rPr>
        <sz val="8"/>
        <rFont val="Calibri"/>
        <family val="1"/>
      </rPr>
      <t>CT Building LV String Distribution Box Complete</t>
    </r>
  </si>
  <si>
    <r>
      <rPr>
        <sz val="8"/>
        <rFont val="Calibri"/>
        <family val="1"/>
      </rPr>
      <t>DHC-96 CPM</t>
    </r>
  </si>
  <si>
    <r>
      <rPr>
        <sz val="8"/>
        <rFont val="Calibri"/>
        <family val="1"/>
      </rPr>
      <t>digital multimeter 96 x 49, 2 output relays</t>
    </r>
  </si>
  <si>
    <r>
      <rPr>
        <b/>
        <sz val="8"/>
        <rFont val="Calibri"/>
        <family val="1"/>
      </rPr>
      <t>Filters  (Filters)</t>
    </r>
  </si>
  <si>
    <r>
      <rPr>
        <sz val="8"/>
        <rFont val="Calibri"/>
        <family val="1"/>
      </rPr>
      <t>710W x 1090L x 48mm</t>
    </r>
  </si>
  <si>
    <r>
      <rPr>
        <sz val="8"/>
        <rFont val="Calibri"/>
        <family val="1"/>
      </rPr>
      <t>PGSSNSG000</t>
    </r>
  </si>
  <si>
    <r>
      <rPr>
        <sz val="8"/>
        <rFont val="Calibri"/>
        <family val="1"/>
      </rPr>
      <t>Panel Filter - Galvanised Frame - Self Support</t>
    </r>
  </si>
  <si>
    <r>
      <rPr>
        <sz val="8"/>
        <rFont val="Calibri"/>
        <family val="1"/>
      </rPr>
      <t>1000W x 1200L x 48mm</t>
    </r>
  </si>
  <si>
    <r>
      <rPr>
        <sz val="8"/>
        <rFont val="Calibri"/>
        <family val="1"/>
      </rPr>
      <t>PGSSNSG000.</t>
    </r>
  </si>
  <si>
    <r>
      <rPr>
        <sz val="8"/>
        <rFont val="Calibri"/>
        <family val="1"/>
      </rPr>
      <t>Panel Filter - Galvanised Frame - Self Support.</t>
    </r>
  </si>
  <si>
    <r>
      <rPr>
        <b/>
        <sz val="8"/>
        <rFont val="Calibri"/>
        <family val="1"/>
      </rPr>
      <t>MV  CT  Fan CONTROL   (MV  CT  Fan CONTROL  [ Ventela)</t>
    </r>
  </si>
  <si>
    <r>
      <rPr>
        <sz val="8"/>
        <rFont val="Calibri"/>
        <family val="1"/>
      </rPr>
      <t>60.13.8.230.0040</t>
    </r>
  </si>
  <si>
    <r>
      <rPr>
        <sz val="8"/>
        <rFont val="Calibri"/>
        <family val="1"/>
      </rPr>
      <t>Finder  11 pin Relay  230 v</t>
    </r>
  </si>
  <si>
    <r>
      <rPr>
        <sz val="8"/>
        <rFont val="Calibri"/>
        <family val="1"/>
      </rPr>
      <t>DTB 4824 RR</t>
    </r>
  </si>
  <si>
    <r>
      <rPr>
        <sz val="8"/>
        <rFont val="Calibri"/>
        <family val="1"/>
      </rPr>
      <t>Delta Process Controler 100-240 v 50hz 5 va</t>
    </r>
  </si>
  <si>
    <r>
      <rPr>
        <sz val="8"/>
        <rFont val="Calibri"/>
        <family val="1"/>
      </rPr>
      <t>RF 38 0160</t>
    </r>
  </si>
  <si>
    <r>
      <rPr>
        <sz val="8"/>
        <rFont val="Calibri"/>
        <family val="1"/>
      </rPr>
      <t>Lovato Thermal Overload Relay</t>
    </r>
  </si>
  <si>
    <r>
      <rPr>
        <sz val="8"/>
        <rFont val="Calibri"/>
        <family val="1"/>
      </rPr>
      <t>BF 09 10 A230</t>
    </r>
  </si>
  <si>
    <r>
      <rPr>
        <sz val="8"/>
        <rFont val="Calibri"/>
        <family val="1"/>
      </rPr>
      <t>Lovato Contactor  230 vac 3.9 amp 4.2 KW</t>
    </r>
  </si>
  <si>
    <r>
      <rPr>
        <b/>
        <sz val="8"/>
        <rFont val="Calibri"/>
        <family val="1"/>
      </rPr>
      <t>MV Components  (MV Components)</t>
    </r>
  </si>
  <si>
    <r>
      <rPr>
        <sz val="8"/>
        <rFont val="Calibri"/>
        <family val="1"/>
      </rPr>
      <t>HBFCACABNAA1ANN1XE</t>
    </r>
  </si>
  <si>
    <r>
      <rPr>
        <sz val="8"/>
        <rFont val="Calibri"/>
        <family val="1"/>
      </rPr>
      <t>REF 615 Relay-HBFEAEAGNAA1BNA11E</t>
    </r>
  </si>
  <si>
    <r>
      <rPr>
        <sz val="8"/>
        <rFont val="Calibri"/>
        <family val="1"/>
      </rPr>
      <t>Opp - 20 -3914295-1</t>
    </r>
  </si>
  <si>
    <r>
      <rPr>
        <sz val="8"/>
        <rFont val="Calibri"/>
        <family val="1"/>
      </rPr>
      <t>REF 615 Protection Relay HBFEAEAGNAA1BNA11G</t>
    </r>
  </si>
  <si>
    <r>
      <rPr>
        <sz val="8"/>
        <rFont val="Calibri"/>
        <family val="1"/>
      </rPr>
      <t>16Q3128239</t>
    </r>
  </si>
  <si>
    <r>
      <rPr>
        <sz val="8"/>
        <rFont val="Calibri"/>
        <family val="1"/>
      </rPr>
      <t>1250 KVA Vacuum Cast Filled Transformer</t>
    </r>
  </si>
  <si>
    <r>
      <rPr>
        <sz val="8"/>
        <rFont val="Calibri"/>
        <family val="1"/>
      </rPr>
      <t>16Q2965432</t>
    </r>
  </si>
  <si>
    <r>
      <rPr>
        <sz val="8"/>
        <rFont val="Calibri"/>
        <family val="1"/>
      </rPr>
      <t>2000 kVA Vacuum Cast Filled Dry - VSD 12 Pulse tra</t>
    </r>
  </si>
  <si>
    <r>
      <rPr>
        <sz val="8"/>
        <rFont val="Calibri"/>
        <family val="1"/>
      </rPr>
      <t>TJP6.022000/3/100/3</t>
    </r>
  </si>
  <si>
    <r>
      <rPr>
        <sz val="8"/>
        <rFont val="Calibri"/>
        <family val="1"/>
      </rPr>
      <t>Voltage Transformer-TJP 6.0 VT</t>
    </r>
  </si>
  <si>
    <r>
      <rPr>
        <sz val="8"/>
        <rFont val="Calibri"/>
        <family val="1"/>
      </rPr>
      <t>Current Transformer TPU 60.13 300/1/1A</t>
    </r>
  </si>
  <si>
    <r>
      <rPr>
        <sz val="8"/>
        <rFont val="Calibri"/>
        <family val="1"/>
      </rPr>
      <t>716964_1</t>
    </r>
  </si>
  <si>
    <r>
      <rPr>
        <sz val="8"/>
        <rFont val="Calibri"/>
        <family val="1"/>
      </rPr>
      <t>Current Transformer TPU 63.13 10000/1/1A</t>
    </r>
  </si>
  <si>
    <r>
      <rPr>
        <sz val="8"/>
        <rFont val="Calibri"/>
        <family val="1"/>
      </rPr>
      <t>2CSG524000R2021</t>
    </r>
  </si>
  <si>
    <r>
      <rPr>
        <sz val="8"/>
        <rFont val="Calibri"/>
        <family val="1"/>
      </rPr>
      <t>TMD-T4/96 Temperature control unit</t>
    </r>
  </si>
  <si>
    <r>
      <rPr>
        <sz val="8"/>
        <rFont val="Calibri"/>
        <family val="1"/>
      </rPr>
      <t>AAO SG 13</t>
    </r>
  </si>
  <si>
    <r>
      <rPr>
        <sz val="8"/>
        <rFont val="Calibri"/>
        <family val="1"/>
      </rPr>
      <t>AC/DC Temp Relay  TR2 PT 100 Temp relay</t>
    </r>
  </si>
  <si>
    <r>
      <rPr>
        <sz val="8"/>
        <rFont val="Calibri"/>
        <family val="1"/>
      </rPr>
      <t>EEO1F02</t>
    </r>
  </si>
  <si>
    <r>
      <rPr>
        <sz val="8"/>
        <rFont val="Calibri"/>
        <family val="1"/>
      </rPr>
      <t>TEMP Controle  SC 501/ 230</t>
    </r>
  </si>
  <si>
    <r>
      <rPr>
        <sz val="8"/>
        <rFont val="Calibri"/>
        <family val="1"/>
      </rPr>
      <t>TIR/1805 230V</t>
    </r>
  </si>
  <si>
    <r>
      <rPr>
        <sz val="8"/>
        <rFont val="Calibri"/>
        <family val="1"/>
      </rPr>
      <t>T1R/180 Temp Relay 230v</t>
    </r>
  </si>
  <si>
    <r>
      <rPr>
        <sz val="8"/>
        <rFont val="Calibri"/>
        <family val="1"/>
      </rPr>
      <t>C4-2-230</t>
    </r>
  </si>
  <si>
    <r>
      <rPr>
        <sz val="8"/>
        <rFont val="Calibri"/>
        <family val="1"/>
      </rPr>
      <t>Relay C4-2-230</t>
    </r>
  </si>
  <si>
    <r>
      <rPr>
        <sz val="8"/>
        <rFont val="Calibri"/>
        <family val="1"/>
      </rPr>
      <t>AAO SG 02</t>
    </r>
  </si>
  <si>
    <r>
      <rPr>
        <sz val="8"/>
        <rFont val="Calibri"/>
        <family val="1"/>
      </rPr>
      <t>AC/DC Multi Fuction  Multi Range  Timer</t>
    </r>
  </si>
  <si>
    <r>
      <rPr>
        <sz val="8"/>
        <rFont val="Calibri"/>
        <family val="1"/>
      </rPr>
      <t>1LES67100622</t>
    </r>
  </si>
  <si>
    <r>
      <rPr>
        <sz val="8"/>
        <rFont val="Calibri"/>
        <family val="1"/>
      </rPr>
      <t>TECSYSTEM 489/2014 PT100/RTD Blue Cable</t>
    </r>
  </si>
  <si>
    <r>
      <rPr>
        <sz val="8"/>
        <rFont val="Calibri"/>
        <family val="1"/>
      </rPr>
      <t>Moxa Ethernet Switch</t>
    </r>
  </si>
  <si>
    <r>
      <rPr>
        <sz val="8"/>
        <rFont val="Calibri"/>
        <family val="1"/>
      </rPr>
      <t>240x12mm CrimpingLug</t>
    </r>
  </si>
  <si>
    <r>
      <rPr>
        <sz val="8"/>
        <rFont val="Calibri"/>
        <family val="1"/>
      </rPr>
      <t>240 x 12mm Crimping Lugs</t>
    </r>
  </si>
  <si>
    <r>
      <rPr>
        <sz val="8"/>
        <rFont val="Calibri"/>
        <family val="1"/>
      </rPr>
      <t>CCV24kVREF615</t>
    </r>
  </si>
  <si>
    <r>
      <rPr>
        <sz val="8"/>
        <rFont val="Calibri"/>
        <family val="1"/>
      </rPr>
      <t>MV Switch Gear Ring Main Safe Plus(RMU)</t>
    </r>
  </si>
  <si>
    <r>
      <rPr>
        <sz val="8"/>
        <rFont val="Calibri"/>
        <family val="1"/>
      </rPr>
      <t>TTS130702952</t>
    </r>
  </si>
  <si>
    <r>
      <rPr>
        <sz val="8"/>
        <rFont val="Calibri"/>
        <family val="1"/>
      </rPr>
      <t>PolyLux25KvaTransPrimary Winding 350V/Sec Wind400V</t>
    </r>
  </si>
  <si>
    <r>
      <rPr>
        <sz val="8"/>
        <rFont val="Calibri"/>
        <family val="1"/>
      </rPr>
      <t>AH-0311-4</t>
    </r>
  </si>
  <si>
    <r>
      <rPr>
        <sz val="8"/>
        <rFont val="Calibri"/>
        <family val="1"/>
      </rPr>
      <t>12-30VDC Smoke Detector</t>
    </r>
  </si>
  <si>
    <r>
      <rPr>
        <b/>
        <sz val="8"/>
        <rFont val="Calibri"/>
        <family val="1"/>
      </rPr>
      <t>MV Substation  (MV Substation (132/22kV) and r)</t>
    </r>
  </si>
  <si>
    <r>
      <rPr>
        <sz val="8"/>
        <rFont val="Calibri"/>
        <family val="1"/>
      </rPr>
      <t>EK6-2406-210</t>
    </r>
  </si>
  <si>
    <r>
      <rPr>
        <sz val="8"/>
        <rFont val="Calibri"/>
        <family val="1"/>
      </rPr>
      <t>22 kV Earth Switch</t>
    </r>
  </si>
  <si>
    <r>
      <rPr>
        <sz val="8"/>
        <rFont val="Calibri"/>
        <family val="1"/>
      </rPr>
      <t>22kVSgearSurProtect</t>
    </r>
  </si>
  <si>
    <r>
      <rPr>
        <sz val="8"/>
        <rFont val="Calibri"/>
        <family val="1"/>
      </rPr>
      <t>22 kV Switchgear Surge Protector</t>
    </r>
  </si>
  <si>
    <r>
      <rPr>
        <sz val="8"/>
        <rFont val="Calibri"/>
        <family val="1"/>
      </rPr>
      <t>22 kVSgearContacts</t>
    </r>
  </si>
  <si>
    <r>
      <rPr>
        <sz val="8"/>
        <rFont val="Calibri"/>
        <family val="1"/>
      </rPr>
      <t>22 kV Switchgear Contacts</t>
    </r>
  </si>
  <si>
    <r>
      <rPr>
        <sz val="8"/>
        <rFont val="Calibri"/>
        <family val="1"/>
      </rPr>
      <t>GCE8006045R0102</t>
    </r>
  </si>
  <si>
    <r>
      <rPr>
        <sz val="8"/>
        <rFont val="Calibri"/>
        <family val="1"/>
      </rPr>
      <t>22 kV Switchgear Busbar Spout</t>
    </r>
  </si>
  <si>
    <r>
      <rPr>
        <sz val="8"/>
        <rFont val="Calibri"/>
        <family val="1"/>
      </rPr>
      <t>MWD24</t>
    </r>
  </si>
  <si>
    <r>
      <rPr>
        <sz val="8"/>
        <rFont val="Calibri"/>
        <family val="1"/>
      </rPr>
      <t>Varistor/Surge Arrestor</t>
    </r>
  </si>
  <si>
    <r>
      <rPr>
        <sz val="8"/>
        <rFont val="Calibri"/>
        <family val="1"/>
      </rPr>
      <t>22kVBusbarInsulator</t>
    </r>
  </si>
  <si>
    <r>
      <rPr>
        <sz val="8"/>
        <rFont val="Calibri"/>
        <family val="1"/>
      </rPr>
      <t>22 kV Busbar Insulator (Indoor Switchgear)</t>
    </r>
  </si>
  <si>
    <r>
      <rPr>
        <sz val="8"/>
        <rFont val="Calibri"/>
        <family val="1"/>
      </rPr>
      <t>2CDS251103R0338</t>
    </r>
  </si>
  <si>
    <r>
      <rPr>
        <sz val="8"/>
        <rFont val="Calibri"/>
        <family val="1"/>
      </rPr>
      <t>S201-Z 4 NA Mini Circuit Breaker Z-Char</t>
    </r>
  </si>
  <si>
    <r>
      <rPr>
        <sz val="8"/>
        <rFont val="Calibri"/>
        <family val="1"/>
      </rPr>
      <t>YZ-8136-EMG</t>
    </r>
  </si>
  <si>
    <r>
      <rPr>
        <sz val="8"/>
        <rFont val="Calibri"/>
        <family val="1"/>
      </rPr>
      <t>Emergency light complete unit</t>
    </r>
  </si>
  <si>
    <r>
      <rPr>
        <sz val="8"/>
        <rFont val="Calibri"/>
        <family val="1"/>
      </rPr>
      <t>LED-YZ-T8-18W-N</t>
    </r>
  </si>
  <si>
    <r>
      <rPr>
        <sz val="8"/>
        <rFont val="Calibri"/>
        <family val="1"/>
      </rPr>
      <t>18W LED fiiting 4ft IP65 tube not</t>
    </r>
  </si>
  <si>
    <r>
      <rPr>
        <sz val="8"/>
        <rFont val="Calibri"/>
        <family val="1"/>
      </rPr>
      <t>EMG-LEDT8-A4FR</t>
    </r>
  </si>
  <si>
    <r>
      <rPr>
        <sz val="8"/>
        <rFont val="Calibri"/>
        <family val="1"/>
      </rPr>
      <t>230Vac 18W daylight frosted (6000K)</t>
    </r>
  </si>
  <si>
    <r>
      <rPr>
        <sz val="8"/>
        <rFont val="Calibri"/>
        <family val="1"/>
      </rPr>
      <t>LED-YZ-T8-2X18W</t>
    </r>
  </si>
  <si>
    <r>
      <rPr>
        <sz val="8"/>
        <rFont val="Calibri"/>
        <family val="1"/>
      </rPr>
      <t>2x18W LED fitting 4ft IP65 tube not</t>
    </r>
  </si>
  <si>
    <r>
      <rPr>
        <sz val="8"/>
        <rFont val="Calibri"/>
        <family val="1"/>
      </rPr>
      <t>LEDT8-A4FR-DL</t>
    </r>
  </si>
  <si>
    <r>
      <rPr>
        <sz val="8"/>
        <rFont val="Calibri"/>
        <family val="1"/>
      </rPr>
      <t>230Vac 18W daylight frosted</t>
    </r>
  </si>
  <si>
    <r>
      <rPr>
        <sz val="8"/>
        <rFont val="Calibri"/>
        <family val="1"/>
      </rPr>
      <t>HF2020</t>
    </r>
  </si>
  <si>
    <r>
      <rPr>
        <sz val="8"/>
        <rFont val="Calibri"/>
        <family val="1"/>
      </rPr>
      <t>GPSANT HF2020 GPS Antenna</t>
    </r>
  </si>
  <si>
    <r>
      <rPr>
        <sz val="8"/>
        <rFont val="Calibri"/>
        <family val="1"/>
      </rPr>
      <t>20M RG58 CABLE</t>
    </r>
  </si>
  <si>
    <r>
      <rPr>
        <sz val="8"/>
        <rFont val="Calibri"/>
        <family val="1"/>
      </rPr>
      <t>20M RG58 Cable</t>
    </r>
  </si>
  <si>
    <r>
      <rPr>
        <sz val="8"/>
        <rFont val="Calibri"/>
        <family val="1"/>
      </rPr>
      <t>MGB S-PRO SURGE PROT</t>
    </r>
  </si>
  <si>
    <r>
      <rPr>
        <sz val="8"/>
        <rFont val="Calibri"/>
        <family val="1"/>
      </rPr>
      <t>MGB S-Pro Surge Protector</t>
    </r>
  </si>
  <si>
    <r>
      <rPr>
        <b/>
        <sz val="8"/>
        <rFont val="Calibri"/>
        <family val="1"/>
      </rPr>
      <t>Power Transformer  (Power Transformer 132/22kV))</t>
    </r>
  </si>
  <si>
    <r>
      <rPr>
        <sz val="8"/>
        <rFont val="Calibri"/>
        <family val="1"/>
      </rPr>
      <t>1ZSCT21002147/02</t>
    </r>
  </si>
  <si>
    <r>
      <rPr>
        <sz val="8"/>
        <rFont val="Calibri"/>
        <family val="1"/>
      </rPr>
      <t>HV 132kV Bushing  20 MVA Transformer</t>
    </r>
  </si>
  <si>
    <r>
      <rPr>
        <sz val="8"/>
        <rFont val="Calibri"/>
        <family val="1"/>
      </rPr>
      <t>AirbreatherNECTX2</t>
    </r>
  </si>
  <si>
    <r>
      <rPr>
        <sz val="8"/>
        <rFont val="Calibri"/>
        <family val="1"/>
      </rPr>
      <t>Air breather for NEC  TX 2</t>
    </r>
  </si>
  <si>
    <r>
      <rPr>
        <sz val="8"/>
        <rFont val="Calibri"/>
        <family val="1"/>
      </rPr>
      <t>1302HL</t>
    </r>
  </si>
  <si>
    <r>
      <rPr>
        <sz val="8"/>
        <rFont val="Calibri"/>
        <family val="1"/>
      </rPr>
      <t>Silica gel 20kg</t>
    </r>
  </si>
  <si>
    <r>
      <rPr>
        <sz val="8"/>
        <rFont val="Calibri"/>
        <family val="1"/>
      </rPr>
      <t>SF6 Gas Leak Detecto</t>
    </r>
  </si>
  <si>
    <r>
      <rPr>
        <sz val="8"/>
        <rFont val="Calibri"/>
        <family val="1"/>
      </rPr>
      <t>SF6 Gas Leak Detector</t>
    </r>
  </si>
  <si>
    <r>
      <rPr>
        <sz val="8"/>
        <rFont val="Calibri"/>
        <family val="1"/>
      </rPr>
      <t>2XBottlesSF 6 Gas40k</t>
    </r>
  </si>
  <si>
    <r>
      <rPr>
        <sz val="8"/>
        <rFont val="Calibri"/>
        <family val="1"/>
      </rPr>
      <t>2 X Bottles of SF 6 Gas  ea bot 40kg gas</t>
    </r>
  </si>
  <si>
    <r>
      <rPr>
        <b/>
        <sz val="8"/>
        <rFont val="Calibri"/>
        <family val="1"/>
      </rPr>
      <t>PV Modules  (PV Modules)</t>
    </r>
  </si>
  <si>
    <r>
      <rPr>
        <sz val="8"/>
        <rFont val="Calibri"/>
        <family val="1"/>
      </rPr>
      <t>330Wp</t>
    </r>
  </si>
  <si>
    <r>
      <rPr>
        <sz val="8"/>
        <rFont val="Calibri"/>
        <family val="1"/>
      </rPr>
      <t>Chint Astronergy  PV Modules</t>
    </r>
  </si>
  <si>
    <r>
      <rPr>
        <sz val="8"/>
        <rFont val="Calibri"/>
        <family val="1"/>
      </rPr>
      <t>PV-HTM-380W</t>
    </r>
  </si>
  <si>
    <r>
      <rPr>
        <sz val="8"/>
        <rFont val="Calibri"/>
        <family val="1"/>
      </rPr>
      <t>PV-HTM-380W-POLY - TIER 1 HAITAI 380P ULTRA EFF PV</t>
    </r>
  </si>
  <si>
    <r>
      <rPr>
        <sz val="8"/>
        <rFont val="Calibri"/>
        <family val="1"/>
      </rPr>
      <t>40mm Solar End Clamp</t>
    </r>
  </si>
  <si>
    <r>
      <rPr>
        <sz val="8"/>
        <rFont val="Calibri"/>
        <family val="1"/>
      </rPr>
      <t>40mm Solar End Clamps</t>
    </r>
  </si>
  <si>
    <r>
      <rPr>
        <b/>
        <sz val="8"/>
        <rFont val="Calibri"/>
        <family val="1"/>
      </rPr>
      <t>PVS 800 Inverter  (PVS 800 Inverter)</t>
    </r>
  </si>
  <si>
    <r>
      <rPr>
        <sz val="8"/>
        <rFont val="Calibri"/>
        <family val="1"/>
      </rPr>
      <t>3AUA0000114471</t>
    </r>
  </si>
  <si>
    <r>
      <rPr>
        <sz val="8"/>
        <rFont val="Calibri"/>
        <family val="1"/>
      </rPr>
      <t>Inverter PVS800-104-0315Kw-V+C126+V991</t>
    </r>
  </si>
  <si>
    <r>
      <rPr>
        <sz val="8"/>
        <rFont val="Calibri"/>
        <family val="1"/>
      </rPr>
      <t>3AUA0000114471R</t>
    </r>
  </si>
  <si>
    <r>
      <rPr>
        <sz val="8"/>
        <rFont val="Calibri"/>
        <family val="1"/>
      </rPr>
      <t>Repaired Inverter PVS800-104-0315Kw-V+C126+V991</t>
    </r>
  </si>
  <si>
    <r>
      <rPr>
        <sz val="8"/>
        <rFont val="Calibri"/>
        <family val="1"/>
      </rPr>
      <t>3AUA0000114471D</t>
    </r>
  </si>
  <si>
    <r>
      <rPr>
        <sz val="8"/>
        <rFont val="Calibri"/>
        <family val="1"/>
      </rPr>
      <t>Damaged Inverter PVS800-104-0315Kw-V+C126+V991</t>
    </r>
  </si>
  <si>
    <r>
      <rPr>
        <sz val="8"/>
        <rFont val="Calibri"/>
        <family val="1"/>
      </rPr>
      <t>3AUA0000128226</t>
    </r>
  </si>
  <si>
    <r>
      <rPr>
        <sz val="8"/>
        <rFont val="Calibri"/>
        <family val="1"/>
      </rPr>
      <t>LC Filter Type: SLCL-16</t>
    </r>
  </si>
  <si>
    <r>
      <rPr>
        <sz val="8"/>
        <rFont val="Calibri"/>
        <family val="1"/>
      </rPr>
      <t>3AXD50000014935</t>
    </r>
  </si>
  <si>
    <r>
      <rPr>
        <sz val="8"/>
        <rFont val="Calibri"/>
        <family val="1"/>
      </rPr>
      <t>SLCL18 filter kit</t>
    </r>
  </si>
  <si>
    <r>
      <rPr>
        <sz val="8"/>
        <rFont val="Calibri"/>
        <family val="1"/>
      </rPr>
      <t>Fan Axial Type W2E143-AA09-01 Door Fans [Cabinet ]</t>
    </r>
  </si>
  <si>
    <r>
      <rPr>
        <sz val="8"/>
        <rFont val="Calibri"/>
        <family val="1"/>
      </rPr>
      <t>W2E143-AA09-01</t>
    </r>
  </si>
  <si>
    <r>
      <rPr>
        <sz val="8"/>
        <rFont val="Calibri"/>
        <family val="1"/>
      </rPr>
      <t>Fan Axial TypeACS 800-104 R8i Inverter Module Fans</t>
    </r>
  </si>
  <si>
    <r>
      <rPr>
        <sz val="8"/>
        <rFont val="Calibri"/>
        <family val="1"/>
      </rPr>
      <t>3AXD50000260454</t>
    </r>
  </si>
  <si>
    <r>
      <rPr>
        <sz val="8"/>
        <rFont val="Calibri"/>
        <family val="1"/>
      </rPr>
      <t>Fan Axial Type  ACS800 ALCL   Filter Fans</t>
    </r>
  </si>
  <si>
    <r>
      <rPr>
        <sz val="8"/>
        <rFont val="Calibri"/>
        <family val="1"/>
      </rPr>
      <t>Fan Power Supply Board  - Type APPS - 11C</t>
    </r>
  </si>
  <si>
    <r>
      <rPr>
        <sz val="8"/>
        <rFont val="Calibri"/>
        <family val="1"/>
      </rPr>
      <t>3AXD50000038423</t>
    </r>
  </si>
  <si>
    <r>
      <rPr>
        <sz val="8"/>
        <rFont val="Calibri"/>
        <family val="1"/>
      </rPr>
      <t>Fan Motor Control Board - type AFIN - 02C</t>
    </r>
  </si>
  <si>
    <r>
      <rPr>
        <sz val="8"/>
        <rFont val="Calibri"/>
        <family val="1"/>
      </rPr>
      <t>Charging Resistors Type: CBH 165 CH 414 5RO 10 ohm</t>
    </r>
  </si>
  <si>
    <r>
      <rPr>
        <sz val="8"/>
        <rFont val="Calibri"/>
        <family val="1"/>
      </rPr>
      <t>RMBA-01 MODBUS Adaptor 3060159EL</t>
    </r>
  </si>
  <si>
    <r>
      <rPr>
        <sz val="8"/>
        <rFont val="Calibri"/>
        <family val="1"/>
      </rPr>
      <t>3AUA0000036340</t>
    </r>
  </si>
  <si>
    <r>
      <rPr>
        <sz val="8"/>
        <rFont val="Calibri"/>
        <family val="1"/>
      </rPr>
      <t>RAPI-01C Adaptor Board to 24 V J-067 (Filter)</t>
    </r>
  </si>
  <si>
    <r>
      <rPr>
        <sz val="8"/>
        <rFont val="Calibri"/>
        <family val="1"/>
      </rPr>
      <t>DDCS-COMMUN OPTI RDCO-01C</t>
    </r>
  </si>
  <si>
    <r>
      <rPr>
        <sz val="8"/>
        <rFont val="Calibri"/>
        <family val="1"/>
      </rPr>
      <t>M 223AB</t>
    </r>
  </si>
  <si>
    <r>
      <rPr>
        <sz val="8"/>
        <rFont val="Calibri"/>
        <family val="1"/>
      </rPr>
      <t>3AUA0000036521</t>
    </r>
  </si>
  <si>
    <r>
      <rPr>
        <sz val="8"/>
        <rFont val="Calibri"/>
        <family val="1"/>
      </rPr>
      <t>Control Unit (PLC) Type: RDCU-12C (Master)</t>
    </r>
  </si>
  <si>
    <r>
      <rPr>
        <sz val="8"/>
        <rFont val="Calibri"/>
        <family val="1"/>
      </rPr>
      <t>Auxilary Measure NAMU/01C</t>
    </r>
  </si>
  <si>
    <r>
      <rPr>
        <sz val="8"/>
        <rFont val="Calibri"/>
        <family val="1"/>
      </rPr>
      <t>PPCS Branch &amp; DA APBU-44C</t>
    </r>
  </si>
  <si>
    <r>
      <rPr>
        <sz val="8"/>
        <rFont val="Calibri"/>
        <family val="1"/>
      </rPr>
      <t>Phoenix Reg Power Supply PS-100-240 AC2x15Vdc</t>
    </r>
  </si>
  <si>
    <r>
      <rPr>
        <sz val="8"/>
        <rFont val="Calibri"/>
        <family val="1"/>
      </rPr>
      <t>Fuse-CC-Class 0.5amp600VAC10x38 mm barrelFNQ-R-1/2</t>
    </r>
  </si>
  <si>
    <r>
      <rPr>
        <sz val="8"/>
        <rFont val="Calibri"/>
        <family val="1"/>
      </rPr>
      <t>Fuses NH3-200 Amp 1000V 30 Ka</t>
    </r>
  </si>
  <si>
    <r>
      <rPr>
        <sz val="8"/>
        <rFont val="Calibri"/>
        <family val="1"/>
      </rPr>
      <t>170M6412 (68731640)</t>
    </r>
  </si>
  <si>
    <r>
      <rPr>
        <sz val="8"/>
        <rFont val="Calibri"/>
        <family val="1"/>
      </rPr>
      <t>Fuses 800 Amp Screw Flush  170M6412 1000 v</t>
    </r>
  </si>
  <si>
    <r>
      <rPr>
        <sz val="8"/>
        <rFont val="Calibri"/>
        <family val="1"/>
      </rPr>
      <t>3AUA0000076327</t>
    </r>
  </si>
  <si>
    <r>
      <rPr>
        <sz val="8"/>
        <rFont val="Calibri"/>
        <family val="1"/>
      </rPr>
      <t>Fuse Bussmann400A-1250VACIEC\1300VACULDIM1170M4393</t>
    </r>
  </si>
  <si>
    <r>
      <rPr>
        <sz val="8"/>
        <rFont val="Calibri"/>
        <family val="1"/>
      </rPr>
      <t>170M5398</t>
    </r>
  </si>
  <si>
    <r>
      <rPr>
        <sz val="8"/>
        <rFont val="Calibri"/>
        <family val="1"/>
      </rPr>
      <t>Fuse 800A - 1250 Vac (IEC)/1300Vac(UL) Din2</t>
    </r>
  </si>
  <si>
    <r>
      <rPr>
        <sz val="8"/>
        <rFont val="Calibri"/>
        <family val="1"/>
      </rPr>
      <t>HRC Fuse Bussmann 20A-AC-690V (OFAA000GG20)</t>
    </r>
  </si>
  <si>
    <r>
      <rPr>
        <sz val="8"/>
        <rFont val="Calibri"/>
        <family val="1"/>
      </rPr>
      <t>Fuse Bussmann 160A- 500V  NHC1</t>
    </r>
  </si>
  <si>
    <r>
      <rPr>
        <sz val="8"/>
        <rFont val="Calibri"/>
        <family val="1"/>
      </rPr>
      <t>Fuse Bussmann 160A-690 V   NH 1</t>
    </r>
  </si>
  <si>
    <r>
      <rPr>
        <sz val="8"/>
        <rFont val="Calibri"/>
        <family val="1"/>
      </rPr>
      <t>Fuse Bussmann 125A-1000V 30Ka</t>
    </r>
  </si>
  <si>
    <r>
      <rPr>
        <sz val="8"/>
        <rFont val="Calibri"/>
        <family val="1"/>
      </rPr>
      <t>3AUA0000060155</t>
    </r>
  </si>
  <si>
    <r>
      <rPr>
        <sz val="8"/>
        <rFont val="Calibri"/>
        <family val="1"/>
      </rPr>
      <t>Arrestor 2 100vdc 12.5ka Type DG M YPV SCI 1000 FM</t>
    </r>
  </si>
  <si>
    <r>
      <rPr>
        <sz val="8"/>
        <rFont val="Calibri"/>
        <family val="1"/>
      </rPr>
      <t>DEHN-DG-M-TN-275 FM</t>
    </r>
  </si>
  <si>
    <r>
      <rPr>
        <sz val="8"/>
        <rFont val="Calibri"/>
        <family val="1"/>
      </rPr>
      <t>Arrestors DEHN-DG-M-TN-275 FM</t>
    </r>
  </si>
  <si>
    <r>
      <rPr>
        <sz val="8"/>
        <rFont val="Calibri"/>
        <family val="1"/>
      </rPr>
      <t>3AUA0000044173</t>
    </r>
  </si>
  <si>
    <r>
      <rPr>
        <sz val="8"/>
        <rFont val="Calibri"/>
        <family val="1"/>
      </rPr>
      <t>Protection Board Type: CVAR-01C Rev:A</t>
    </r>
  </si>
  <si>
    <r>
      <rPr>
        <sz val="8"/>
        <rFont val="Calibri"/>
        <family val="1"/>
      </rPr>
      <t>3AXD50000000403</t>
    </r>
  </si>
  <si>
    <r>
      <rPr>
        <sz val="8"/>
        <rFont val="Calibri"/>
        <family val="1"/>
      </rPr>
      <t>Contactor AC.3: 4Kw-400V/100-250V 50/60 hz 4 POLE</t>
    </r>
  </si>
  <si>
    <r>
      <rPr>
        <sz val="8"/>
        <rFont val="Calibri"/>
        <family val="1"/>
      </rPr>
      <t>3AUA0000089006</t>
    </r>
  </si>
  <si>
    <r>
      <rPr>
        <sz val="8"/>
        <rFont val="Calibri"/>
        <family val="1"/>
      </rPr>
      <t>ABB Contactor [ AF 30-30-00-13 ] 3 POLE 15 kw</t>
    </r>
  </si>
  <si>
    <r>
      <rPr>
        <sz val="8"/>
        <rFont val="Calibri"/>
        <family val="1"/>
      </rPr>
      <t>1SBH137001R1331</t>
    </r>
  </si>
  <si>
    <r>
      <rPr>
        <sz val="8"/>
        <rFont val="Calibri"/>
        <family val="1"/>
      </rPr>
      <t>ABB aux Contactor [ NF31E-13 ]</t>
    </r>
  </si>
  <si>
    <r>
      <rPr>
        <sz val="8"/>
        <rFont val="Calibri"/>
        <family val="1"/>
      </rPr>
      <t>1SBN01O120R1011</t>
    </r>
  </si>
  <si>
    <r>
      <rPr>
        <sz val="8"/>
        <rFont val="Calibri"/>
        <family val="1"/>
      </rPr>
      <t>ABB aux Contactor [ CAL4-11] -</t>
    </r>
  </si>
  <si>
    <r>
      <rPr>
        <sz val="8"/>
        <rFont val="Calibri"/>
        <family val="1"/>
      </rPr>
      <t>1SBN010110R1001</t>
    </r>
  </si>
  <si>
    <r>
      <rPr>
        <sz val="8"/>
        <rFont val="Calibri"/>
        <family val="1"/>
      </rPr>
      <t>Auxilliary Contact Block CA4-01</t>
    </r>
  </si>
  <si>
    <r>
      <rPr>
        <sz val="8"/>
        <rFont val="Calibri"/>
        <family val="1"/>
      </rPr>
      <t>Auxilary Contacts</t>
    </r>
  </si>
  <si>
    <r>
      <rPr>
        <sz val="8"/>
        <rFont val="Calibri"/>
        <family val="1"/>
      </rPr>
      <t>RDIO-01 Digital I/O Extension [ RETA -1 ]</t>
    </r>
  </si>
  <si>
    <r>
      <rPr>
        <sz val="8"/>
        <rFont val="Calibri"/>
        <family val="1"/>
      </rPr>
      <t>RETA - 01 ETHERNET ADAPTER</t>
    </r>
  </si>
  <si>
    <r>
      <rPr>
        <sz val="8"/>
        <rFont val="Calibri"/>
        <family val="1"/>
      </rPr>
      <t>3AUA0000108484</t>
    </r>
  </si>
  <si>
    <r>
      <rPr>
        <sz val="8"/>
        <rFont val="Calibri"/>
        <family val="1"/>
      </rPr>
      <t>Measurement  transducer-LV 25-1200/SP1</t>
    </r>
  </si>
  <si>
    <r>
      <rPr>
        <sz val="8"/>
        <rFont val="Calibri"/>
        <family val="1"/>
      </rPr>
      <t>3AUA0000097611</t>
    </r>
  </si>
  <si>
    <r>
      <rPr>
        <sz val="8"/>
        <rFont val="Calibri"/>
        <family val="1"/>
      </rPr>
      <t>Temperature Transducer</t>
    </r>
  </si>
  <si>
    <r>
      <rPr>
        <sz val="8"/>
        <rFont val="Calibri"/>
        <family val="1"/>
      </rPr>
      <t>3AUA0000106219</t>
    </r>
  </si>
  <si>
    <r>
      <rPr>
        <sz val="8"/>
        <rFont val="Calibri"/>
        <family val="1"/>
      </rPr>
      <t>Earth fault Transducer PGND - 2</t>
    </r>
  </si>
  <si>
    <r>
      <rPr>
        <sz val="8"/>
        <rFont val="Calibri"/>
        <family val="1"/>
      </rPr>
      <t>2 x 2.2 nf 6,3 Kvdc Filter Capacitor</t>
    </r>
  </si>
  <si>
    <r>
      <rPr>
        <sz val="8"/>
        <rFont val="Calibri"/>
        <family val="1"/>
      </rPr>
      <t>3AUA0000094517</t>
    </r>
  </si>
  <si>
    <r>
      <rPr>
        <sz val="8"/>
        <rFont val="Calibri"/>
        <family val="1"/>
      </rPr>
      <t>Neta-21 Kit</t>
    </r>
  </si>
  <si>
    <r>
      <rPr>
        <sz val="8"/>
        <rFont val="Calibri"/>
        <family val="1"/>
      </rPr>
      <t>1SFL597001R7111</t>
    </r>
  </si>
  <si>
    <r>
      <rPr>
        <sz val="8"/>
        <rFont val="Calibri"/>
        <family val="1"/>
      </rPr>
      <t>ABB DC CONTACTOR (AF460-30-11)</t>
    </r>
  </si>
  <si>
    <r>
      <rPr>
        <sz val="8"/>
        <rFont val="Calibri"/>
        <family val="1"/>
      </rPr>
      <t>ABB AC CONTACTOR (AF580301170)</t>
    </r>
  </si>
  <si>
    <r>
      <rPr>
        <sz val="8"/>
        <rFont val="Calibri"/>
        <family val="1"/>
      </rPr>
      <t>1SFL597025R6811</t>
    </r>
  </si>
  <si>
    <r>
      <rPr>
        <sz val="8"/>
        <rFont val="Calibri"/>
        <family val="1"/>
      </rPr>
      <t>GAF4601011 2460V DC Contactor</t>
    </r>
  </si>
  <si>
    <r>
      <rPr>
        <sz val="8"/>
        <rFont val="Calibri"/>
        <family val="1"/>
      </rPr>
      <t>NEXA21</t>
    </r>
  </si>
  <si>
    <r>
      <rPr>
        <sz val="8"/>
        <rFont val="Calibri"/>
        <family val="1"/>
      </rPr>
      <t>Nexa 21 Fieldbus Kit</t>
    </r>
  </si>
  <si>
    <r>
      <rPr>
        <sz val="8"/>
        <rFont val="Calibri"/>
        <family val="1"/>
      </rPr>
      <t>NF31E-13</t>
    </r>
  </si>
  <si>
    <r>
      <rPr>
        <sz val="8"/>
        <rFont val="Calibri"/>
        <family val="1"/>
      </rPr>
      <t>ABB Contactor</t>
    </r>
  </si>
  <si>
    <r>
      <rPr>
        <sz val="8"/>
        <rFont val="Calibri"/>
        <family val="1"/>
      </rPr>
      <t>MURR Power Supply MPS5-230/24</t>
    </r>
  </si>
  <si>
    <r>
      <rPr>
        <sz val="8"/>
        <rFont val="Calibri"/>
        <family val="1"/>
      </rPr>
      <t>B91065131W</t>
    </r>
  </si>
  <si>
    <r>
      <rPr>
        <sz val="8"/>
        <rFont val="Calibri"/>
        <family val="1"/>
      </rPr>
      <t>Bender Earth Relay ISOPV-335</t>
    </r>
  </si>
  <si>
    <r>
      <rPr>
        <sz val="8"/>
        <rFont val="Calibri"/>
        <family val="1"/>
      </rPr>
      <t>B98039020W</t>
    </r>
  </si>
  <si>
    <r>
      <rPr>
        <sz val="8"/>
        <rFont val="Calibri"/>
        <family val="1"/>
      </rPr>
      <t>Bender Earth Relay AGH-PV-3</t>
    </r>
  </si>
  <si>
    <r>
      <rPr>
        <sz val="8"/>
        <rFont val="Calibri"/>
        <family val="1"/>
      </rPr>
      <t>TC 1 D 0910 N7</t>
    </r>
  </si>
  <si>
    <r>
      <rPr>
        <sz val="8"/>
        <rFont val="Calibri"/>
        <family val="1"/>
      </rPr>
      <t>Contactor TC 1 D 0910 N7</t>
    </r>
  </si>
  <si>
    <r>
      <rPr>
        <sz val="8"/>
        <rFont val="Calibri"/>
        <family val="1"/>
      </rPr>
      <t>WIRE SET; ACS800104XXXX3/5/7</t>
    </r>
  </si>
  <si>
    <r>
      <rPr>
        <sz val="8"/>
        <rFont val="Calibri"/>
        <family val="1"/>
      </rPr>
      <t>MAIN CIRC. INTERF AINT14C</t>
    </r>
  </si>
  <si>
    <r>
      <rPr>
        <sz val="8"/>
        <rFont val="Calibri"/>
        <family val="1"/>
      </rPr>
      <t>CAPACITOR; 123UF / 500VAC</t>
    </r>
  </si>
  <si>
    <r>
      <rPr>
        <sz val="8"/>
        <rFont val="Calibri"/>
        <family val="1"/>
      </rPr>
      <t>EGDR71C-FS450R12OE4R</t>
    </r>
  </si>
  <si>
    <r>
      <rPr>
        <sz val="8"/>
        <rFont val="Calibri"/>
        <family val="1"/>
      </rPr>
      <t>IGBT Gate Driver Board</t>
    </r>
  </si>
  <si>
    <r>
      <rPr>
        <sz val="8"/>
        <rFont val="Calibri"/>
        <family val="1"/>
      </rPr>
      <t>APOW-01C; POWER SUPPLY BOARD</t>
    </r>
  </si>
  <si>
    <r>
      <rPr>
        <sz val="8"/>
        <rFont val="Calibri"/>
        <family val="1"/>
      </rPr>
      <t>IGBT MODULE+DRIVE</t>
    </r>
  </si>
  <si>
    <r>
      <rPr>
        <sz val="8"/>
        <rFont val="Calibri"/>
        <family val="1"/>
      </rPr>
      <t>TEMP MEASURING BO ATMB-01C</t>
    </r>
  </si>
  <si>
    <r>
      <rPr>
        <b/>
        <sz val="8"/>
        <rFont val="Calibri"/>
        <family val="1"/>
      </rPr>
      <t>SCADA System  (SCADA System)</t>
    </r>
  </si>
  <si>
    <r>
      <rPr>
        <sz val="8"/>
        <rFont val="Calibri"/>
        <family val="1"/>
      </rPr>
      <t>1SAP180600R0001</t>
    </r>
  </si>
  <si>
    <r>
      <rPr>
        <sz val="8"/>
        <rFont val="Calibri"/>
        <family val="1"/>
      </rPr>
      <t>TA524BO Empty Module Cover Plate</t>
    </r>
  </si>
  <si>
    <r>
      <rPr>
        <sz val="8"/>
        <rFont val="Calibri"/>
        <family val="1"/>
      </rPr>
      <t>PSIREPRS485W2</t>
    </r>
  </si>
  <si>
    <r>
      <rPr>
        <sz val="8"/>
        <rFont val="Calibri"/>
        <family val="1"/>
      </rPr>
      <t>Repeater RS 485 (PSI REP RS485W2)</t>
    </r>
  </si>
  <si>
    <r>
      <rPr>
        <sz val="8"/>
        <rFont val="Calibri"/>
        <family val="1"/>
      </rPr>
      <t>1SAP111100R0270</t>
    </r>
  </si>
  <si>
    <r>
      <rPr>
        <sz val="8"/>
        <rFont val="Calibri"/>
        <family val="1"/>
      </rPr>
      <t>TB511/ETH-BI24VDC1CouplerSlot Ethernet RJ45 CPU</t>
    </r>
  </si>
  <si>
    <r>
      <rPr>
        <sz val="8"/>
        <rFont val="Calibri"/>
        <family val="1"/>
      </rPr>
      <t>1SVR427035R0000</t>
    </r>
  </si>
  <si>
    <r>
      <rPr>
        <sz val="8"/>
        <rFont val="Calibri"/>
        <family val="1"/>
      </rPr>
      <t>Power Supply CP-E24/10A</t>
    </r>
  </si>
  <si>
    <r>
      <rPr>
        <sz val="8"/>
        <rFont val="Calibri"/>
        <family val="1"/>
      </rPr>
      <t>1SAP250700R0001</t>
    </r>
  </si>
  <si>
    <r>
      <rPr>
        <sz val="8"/>
        <rFont val="Calibri"/>
        <family val="1"/>
      </rPr>
      <t>ABB DA501 I/O 24  Digital Analoge In/output Module</t>
    </r>
  </si>
  <si>
    <r>
      <rPr>
        <sz val="8"/>
        <rFont val="Calibri"/>
        <family val="1"/>
      </rPr>
      <t>FIB/NON/005</t>
    </r>
  </si>
  <si>
    <r>
      <rPr>
        <sz val="8"/>
        <rFont val="Calibri"/>
        <family val="1"/>
      </rPr>
      <t>Fibre OpticalPigtail1mSTPCSimplexUnjackedMM50/125</t>
    </r>
  </si>
  <si>
    <r>
      <rPr>
        <sz val="8"/>
        <rFont val="Calibri"/>
        <family val="1"/>
      </rPr>
      <t>FIB/NON/037</t>
    </r>
  </si>
  <si>
    <r>
      <rPr>
        <sz val="8"/>
        <rFont val="Calibri"/>
        <family val="1"/>
      </rPr>
      <t>Midcouplers SC  Simplex  MM</t>
    </r>
  </si>
  <si>
    <r>
      <rPr>
        <sz val="8"/>
        <rFont val="Calibri"/>
        <family val="1"/>
      </rPr>
      <t>FIB/NON/094</t>
    </r>
  </si>
  <si>
    <r>
      <rPr>
        <sz val="8"/>
        <rFont val="Calibri"/>
        <family val="1"/>
      </rPr>
      <t>Duplex Patchcord  5m SC - SC MM 2 mm LSZH Orange</t>
    </r>
  </si>
  <si>
    <r>
      <rPr>
        <sz val="8"/>
        <rFont val="Calibri"/>
        <family val="1"/>
      </rPr>
      <t>FIB/NON/095</t>
    </r>
  </si>
  <si>
    <r>
      <rPr>
        <sz val="8"/>
        <rFont val="Calibri"/>
        <family val="1"/>
      </rPr>
      <t>Duplex Patchcord  10 m SC-ST MM 1.8 mm LSZH Orange</t>
    </r>
  </si>
  <si>
    <r>
      <rPr>
        <sz val="8"/>
        <rFont val="Calibri"/>
        <family val="1"/>
      </rPr>
      <t>1SAP150200RO271</t>
    </r>
  </si>
  <si>
    <r>
      <rPr>
        <sz val="8"/>
        <rFont val="Calibri"/>
        <family val="1"/>
      </rPr>
      <t>PLC AC 500 PM592 ETH Programmable Logic Controlier</t>
    </r>
  </si>
  <si>
    <r>
      <rPr>
        <sz val="8"/>
        <rFont val="Calibri"/>
        <family val="1"/>
      </rPr>
      <t>PRO MAX 120W 12V 10A Power Supply</t>
    </r>
  </si>
  <si>
    <r>
      <rPr>
        <b/>
        <sz val="8"/>
        <rFont val="Calibri"/>
        <family val="1"/>
      </rPr>
      <t>Security  (Security)</t>
    </r>
  </si>
  <si>
    <r>
      <rPr>
        <sz val="8"/>
        <rFont val="Calibri"/>
        <family val="1"/>
      </rPr>
      <t>9C82F3W2Z100</t>
    </r>
  </si>
  <si>
    <r>
      <rPr>
        <sz val="8"/>
        <rFont val="Calibri"/>
        <family val="1"/>
      </rPr>
      <t>HD IP SPEED DOME Camera 24 vdc</t>
    </r>
  </si>
  <si>
    <r>
      <rPr>
        <sz val="8"/>
        <rFont val="Calibri"/>
        <family val="1"/>
      </rPr>
      <t>1.0.01.07.12974</t>
    </r>
  </si>
  <si>
    <r>
      <rPr>
        <sz val="8"/>
        <rFont val="Calibri"/>
        <family val="1"/>
      </rPr>
      <t>HD IP SPEED DOME Camera 12 vdc</t>
    </r>
  </si>
  <si>
    <r>
      <rPr>
        <sz val="8"/>
        <rFont val="Calibri"/>
        <family val="1"/>
      </rPr>
      <t>9142-24T</t>
    </r>
  </si>
  <si>
    <r>
      <rPr>
        <sz val="8"/>
        <rFont val="Calibri"/>
        <family val="1"/>
      </rPr>
      <t>(CCTV) + infrared/Ultrasonic barriers</t>
    </r>
  </si>
  <si>
    <r>
      <rPr>
        <sz val="8"/>
        <rFont val="Calibri"/>
        <family val="1"/>
      </rPr>
      <t>PigTailsWhiteG2.5/12</t>
    </r>
  </si>
  <si>
    <r>
      <rPr>
        <sz val="8"/>
        <rFont val="Calibri"/>
        <family val="1"/>
      </rPr>
      <t>Fibre Optc Pig Tails White G2.5/125</t>
    </r>
  </si>
  <si>
    <r>
      <rPr>
        <sz val="8"/>
        <rFont val="Calibri"/>
        <family val="1"/>
      </rPr>
      <t>PigTails1M ST/PC/MM</t>
    </r>
  </si>
  <si>
    <r>
      <rPr>
        <sz val="8"/>
        <rFont val="Calibri"/>
        <family val="1"/>
      </rPr>
      <t>Fibre Optic Pig Tails 1M ST/PC/MM 50/125 LSZH</t>
    </r>
  </si>
  <si>
    <r>
      <rPr>
        <sz val="8"/>
        <rFont val="Calibri"/>
        <family val="1"/>
      </rPr>
      <t>MEGALSLMSCLC05</t>
    </r>
  </si>
  <si>
    <r>
      <rPr>
        <sz val="8"/>
        <rFont val="Calibri"/>
        <family val="1"/>
      </rPr>
      <t>Fibre Optic Pig Tails MM OM2 SC-LC 5M</t>
    </r>
  </si>
  <si>
    <r>
      <rPr>
        <sz val="8"/>
        <rFont val="Calibri"/>
        <family val="1"/>
      </rPr>
      <t>STLC10MZ</t>
    </r>
  </si>
  <si>
    <r>
      <rPr>
        <sz val="8"/>
        <rFont val="Calibri"/>
        <family val="1"/>
      </rPr>
      <t>Fibre Optic Pig Tails Leads</t>
    </r>
  </si>
  <si>
    <r>
      <rPr>
        <sz val="8"/>
        <rFont val="Calibri"/>
        <family val="1"/>
      </rPr>
      <t>UsedFibreOpticPigTai</t>
    </r>
  </si>
  <si>
    <r>
      <rPr>
        <sz val="8"/>
        <rFont val="Calibri"/>
        <family val="1"/>
      </rPr>
      <t>Used Fibre Optic Pig Tails Leads</t>
    </r>
  </si>
  <si>
    <r>
      <rPr>
        <sz val="8"/>
        <rFont val="Calibri"/>
        <family val="1"/>
      </rPr>
      <t>9B05W2B1ZZ04</t>
    </r>
  </si>
  <si>
    <r>
      <rPr>
        <sz val="8"/>
        <rFont val="Calibri"/>
        <family val="1"/>
      </rPr>
      <t>IR Bullet IP Camera</t>
    </r>
  </si>
  <si>
    <r>
      <rPr>
        <sz val="8"/>
        <rFont val="Calibri"/>
        <family val="1"/>
      </rPr>
      <t>010PSUP027</t>
    </r>
  </si>
  <si>
    <r>
      <rPr>
        <sz val="8"/>
        <rFont val="Calibri"/>
        <family val="1"/>
      </rPr>
      <t>Mains Transformer 230 v 40 va</t>
    </r>
  </si>
  <si>
    <r>
      <rPr>
        <sz val="8"/>
        <rFont val="Calibri"/>
        <family val="1"/>
      </rPr>
      <t>CCTV-CL100/1000</t>
    </r>
  </si>
  <si>
    <r>
      <rPr>
        <sz val="8"/>
        <rFont val="Calibri"/>
        <family val="1"/>
      </rPr>
      <t>CCTV Surge Arrestors  100 Base - T - Protect</t>
    </r>
  </si>
  <si>
    <r>
      <rPr>
        <sz val="8"/>
        <rFont val="Calibri"/>
        <family val="1"/>
      </rPr>
      <t>AC-CS1100</t>
    </r>
  </si>
  <si>
    <r>
      <rPr>
        <sz val="8"/>
        <rFont val="Calibri"/>
        <family val="1"/>
      </rPr>
      <t>Proximity Meters  AC 1100 UL Slimline</t>
    </r>
  </si>
  <si>
    <r>
      <rPr>
        <sz val="8"/>
        <rFont val="Calibri"/>
        <family val="1"/>
      </rPr>
      <t>Pole Attachment</t>
    </r>
  </si>
  <si>
    <r>
      <rPr>
        <sz val="8"/>
        <rFont val="Calibri"/>
        <family val="1"/>
      </rPr>
      <t>IGS-624HPT</t>
    </r>
  </si>
  <si>
    <r>
      <rPr>
        <sz val="8"/>
        <rFont val="Calibri"/>
        <family val="1"/>
      </rPr>
      <t>Ethernet Switch 4 port 10/100/1000T</t>
    </r>
  </si>
  <si>
    <r>
      <rPr>
        <sz val="8"/>
        <rFont val="Calibri"/>
        <family val="1"/>
      </rPr>
      <t>ACS001071F</t>
    </r>
  </si>
  <si>
    <r>
      <rPr>
        <sz val="8"/>
        <rFont val="Calibri"/>
        <family val="1"/>
      </rPr>
      <t>I - Nett Access Control Units</t>
    </r>
  </si>
  <si>
    <r>
      <rPr>
        <sz val="8"/>
        <rFont val="Calibri"/>
        <family val="1"/>
      </rPr>
      <t>NETSTAR XT700</t>
    </r>
  </si>
  <si>
    <r>
      <rPr>
        <sz val="8"/>
        <rFont val="Calibri"/>
        <family val="1"/>
      </rPr>
      <t>UPS Alto</t>
    </r>
  </si>
  <si>
    <r>
      <rPr>
        <sz val="8"/>
        <rFont val="Calibri"/>
        <family val="1"/>
      </rPr>
      <t>AXIS P1455-LE CAMERA</t>
    </r>
  </si>
  <si>
    <r>
      <rPr>
        <sz val="8"/>
        <rFont val="Calibri"/>
        <family val="1"/>
      </rPr>
      <t>Axis P1455-Le Camera</t>
    </r>
  </si>
  <si>
    <r>
      <rPr>
        <b/>
        <sz val="8"/>
        <rFont val="Calibri"/>
        <family val="1"/>
      </rPr>
      <t>String Combiner Box  (String Combiner Boxes)</t>
    </r>
  </si>
  <si>
    <r>
      <rPr>
        <sz val="8"/>
        <rFont val="Calibri"/>
        <family val="1"/>
      </rPr>
      <t>n10185903</t>
    </r>
  </si>
  <si>
    <r>
      <rPr>
        <sz val="8"/>
        <rFont val="Calibri"/>
        <family val="1"/>
      </rPr>
      <t>15 Amp fuses   PV - 15 A  10 F</t>
    </r>
  </si>
  <si>
    <r>
      <rPr>
        <sz val="8"/>
        <rFont val="Calibri"/>
        <family val="1"/>
      </rPr>
      <t>1SCA103719R1001</t>
    </r>
  </si>
  <si>
    <r>
      <rPr>
        <sz val="8"/>
        <rFont val="Calibri"/>
        <family val="1"/>
      </rPr>
      <t>Switch Disconnector 200 Amp OT200E33P</t>
    </r>
  </si>
  <si>
    <r>
      <rPr>
        <sz val="8"/>
        <rFont val="Calibri"/>
        <family val="1"/>
      </rPr>
      <t>RS485</t>
    </r>
  </si>
  <si>
    <r>
      <rPr>
        <sz val="8"/>
        <rFont val="Calibri"/>
        <family val="1"/>
      </rPr>
      <t>RS 485 Cable 2x2x0.5  Screened</t>
    </r>
  </si>
  <si>
    <r>
      <rPr>
        <sz val="8"/>
        <rFont val="Calibri"/>
        <family val="1"/>
      </rPr>
      <t>Weidmuller Transclinic 14i+</t>
    </r>
  </si>
  <si>
    <r>
      <rPr>
        <sz val="8"/>
        <rFont val="Calibri"/>
        <family val="1"/>
      </rPr>
      <t>1SVR427031R0000</t>
    </r>
  </si>
  <si>
    <r>
      <rPr>
        <sz val="8"/>
        <rFont val="Calibri"/>
        <family val="1"/>
      </rPr>
      <t>Regulated Power Supply1.25 Amp 24 Vdc CPE 24/1.25</t>
    </r>
  </si>
  <si>
    <r>
      <rPr>
        <sz val="8"/>
        <rFont val="Calibri"/>
        <family val="1"/>
      </rPr>
      <t>2CT 880395 0R0100</t>
    </r>
  </si>
  <si>
    <r>
      <rPr>
        <sz val="8"/>
        <rFont val="Calibri"/>
        <family val="1"/>
      </rPr>
      <t>Surge Arrestor OVR  PV  40 - 1000 C</t>
    </r>
  </si>
  <si>
    <r>
      <rPr>
        <sz val="8"/>
        <rFont val="Calibri"/>
        <family val="1"/>
      </rPr>
      <t>2CDS252001R0204</t>
    </r>
  </si>
  <si>
    <r>
      <rPr>
        <sz val="8"/>
        <rFont val="Calibri"/>
        <family val="1"/>
      </rPr>
      <t>MCB S202C20</t>
    </r>
  </si>
  <si>
    <r>
      <rPr>
        <sz val="8"/>
        <rFont val="Calibri"/>
        <family val="1"/>
      </rPr>
      <t>PSIMOSRS485W2FO-850T</t>
    </r>
  </si>
  <si>
    <r>
      <rPr>
        <sz val="8"/>
        <rFont val="Calibri"/>
        <family val="1"/>
      </rPr>
      <t>Phoenix Double Channel FO CONVERTER</t>
    </r>
  </si>
  <si>
    <r>
      <rPr>
        <sz val="8"/>
        <rFont val="Calibri"/>
        <family val="1"/>
      </rPr>
      <t>2CSM204753R1801</t>
    </r>
  </si>
  <si>
    <r>
      <rPr>
        <sz val="8"/>
        <rFont val="Calibri"/>
        <family val="1"/>
      </rPr>
      <t>Fuse HoldPMF10x38 3 Ph/E 93/32 Fuse Switch Discon</t>
    </r>
  </si>
  <si>
    <r>
      <rPr>
        <sz val="8"/>
        <rFont val="Calibri"/>
        <family val="1"/>
      </rPr>
      <t>2CDS252001R0104</t>
    </r>
  </si>
  <si>
    <r>
      <rPr>
        <sz val="8"/>
        <rFont val="Calibri"/>
        <family val="1"/>
      </rPr>
      <t>ABB Double Pole MCB  MCB S202-C10</t>
    </r>
  </si>
  <si>
    <r>
      <rPr>
        <sz val="8"/>
        <rFont val="Calibri"/>
        <family val="1"/>
      </rPr>
      <t>2CCS800900R0021</t>
    </r>
  </si>
  <si>
    <r>
      <rPr>
        <sz val="8"/>
        <rFont val="Calibri"/>
        <family val="1"/>
      </rPr>
      <t>ABB S800-AUX/ALT Auxiliary Contact</t>
    </r>
  </si>
  <si>
    <r>
      <rPr>
        <sz val="8"/>
        <rFont val="Calibri"/>
        <family val="1"/>
      </rPr>
      <t>2CDS252001R0024</t>
    </r>
  </si>
  <si>
    <r>
      <rPr>
        <sz val="8"/>
        <rFont val="Calibri"/>
        <family val="1"/>
      </rPr>
      <t>ABB Double Pole MCB  MCB S202 -C 2A</t>
    </r>
  </si>
  <si>
    <r>
      <rPr>
        <sz val="8"/>
        <rFont val="Calibri"/>
        <family val="1"/>
      </rPr>
      <t>ZVE11 RELE</t>
    </r>
  </si>
  <si>
    <r>
      <rPr>
        <sz val="8"/>
        <rFont val="Calibri"/>
        <family val="1"/>
      </rPr>
      <t>11 Pin Din Mount Relay Base</t>
    </r>
  </si>
  <si>
    <r>
      <rPr>
        <sz val="8"/>
        <rFont val="Calibri"/>
        <family val="1"/>
      </rPr>
      <t>MC4 Female Housing</t>
    </r>
  </si>
  <si>
    <r>
      <rPr>
        <sz val="8"/>
        <rFont val="Calibri"/>
        <family val="1"/>
      </rPr>
      <t>MC4 Female Crimping Lug  WM 4C BT</t>
    </r>
  </si>
  <si>
    <r>
      <rPr>
        <sz val="8"/>
        <rFont val="Calibri"/>
        <family val="1"/>
      </rPr>
      <t>PVC46M</t>
    </r>
  </si>
  <si>
    <r>
      <rPr>
        <sz val="8"/>
        <rFont val="Calibri"/>
        <family val="1"/>
      </rPr>
      <t>MC4 Male Housing</t>
    </r>
  </si>
  <si>
    <r>
      <rPr>
        <sz val="8"/>
        <rFont val="Calibri"/>
        <family val="1"/>
      </rPr>
      <t>MC4 Male Crimping Lug  SFKO WM 4  C BT</t>
    </r>
  </si>
  <si>
    <r>
      <rPr>
        <sz val="8"/>
        <rFont val="Calibri"/>
        <family val="1"/>
      </rPr>
      <t>Tools</t>
    </r>
  </si>
  <si>
    <r>
      <rPr>
        <sz val="8"/>
        <rFont val="Calibri"/>
        <family val="1"/>
      </rPr>
      <t>MC4 crimping tool</t>
    </r>
  </si>
  <si>
    <r>
      <rPr>
        <b/>
        <sz val="8"/>
        <rFont val="Calibri"/>
        <family val="1"/>
      </rPr>
      <t>Trackers  (Trackers)</t>
    </r>
  </si>
  <si>
    <r>
      <rPr>
        <sz val="8"/>
        <rFont val="Calibri"/>
        <family val="1"/>
      </rPr>
      <t>380V LS Contactors MC 12B (24 Vdc)</t>
    </r>
  </si>
  <si>
    <r>
      <rPr>
        <sz val="8"/>
        <rFont val="Calibri"/>
        <family val="1"/>
      </rPr>
      <t>380V LS Contactors MC 22 B (24 Vdc)</t>
    </r>
  </si>
  <si>
    <r>
      <rPr>
        <sz val="8"/>
        <rFont val="Calibri"/>
        <family val="1"/>
      </rPr>
      <t>XEC-D32H/D1</t>
    </r>
  </si>
  <si>
    <r>
      <rPr>
        <sz val="8"/>
        <rFont val="Calibri"/>
        <family val="1"/>
      </rPr>
      <t>LS PLC XEC/DR32H/D1</t>
    </r>
  </si>
  <si>
    <r>
      <rPr>
        <sz val="8"/>
        <rFont val="Calibri"/>
        <family val="1"/>
      </rPr>
      <t>XBF-AD 04C</t>
    </r>
  </si>
  <si>
    <r>
      <rPr>
        <sz val="8"/>
        <rFont val="Calibri"/>
        <family val="1"/>
      </rPr>
      <t>LS XBF/AD 04A Voltage/Curr Input Module</t>
    </r>
  </si>
  <si>
    <r>
      <rPr>
        <sz val="8"/>
        <rFont val="Calibri"/>
        <family val="1"/>
      </rPr>
      <t>XP30/BTE/DC</t>
    </r>
  </si>
  <si>
    <r>
      <rPr>
        <sz val="8"/>
        <rFont val="Calibri"/>
        <family val="1"/>
      </rPr>
      <t>LS XP30/BTE/DC Touch Panel (New)</t>
    </r>
  </si>
  <si>
    <r>
      <rPr>
        <sz val="8"/>
        <rFont val="Calibri"/>
        <family val="1"/>
      </rPr>
      <t>Anemometerconveter</t>
    </r>
  </si>
  <si>
    <r>
      <rPr>
        <sz val="8"/>
        <rFont val="Calibri"/>
        <family val="1"/>
      </rPr>
      <t>Anemometer &amp; Wind Speed Voltage Converter Unit</t>
    </r>
  </si>
  <si>
    <r>
      <rPr>
        <sz val="8"/>
        <rFont val="Calibri"/>
        <family val="1"/>
      </rPr>
      <t>Anemometer</t>
    </r>
  </si>
  <si>
    <r>
      <rPr>
        <sz val="8"/>
        <rFont val="Calibri"/>
        <family val="1"/>
      </rPr>
      <t>Shock Absorber's</t>
    </r>
  </si>
  <si>
    <r>
      <rPr>
        <sz val="8"/>
        <rFont val="Calibri"/>
        <family val="1"/>
      </rPr>
      <t>Tracker Box Fan Covers (Rittal)</t>
    </r>
  </si>
  <si>
    <r>
      <rPr>
        <sz val="8"/>
        <rFont val="Calibri"/>
        <family val="1"/>
      </rPr>
      <t>PRO ECO 3 240W 24V</t>
    </r>
  </si>
  <si>
    <r>
      <rPr>
        <sz val="8"/>
        <rFont val="Calibri"/>
        <family val="1"/>
      </rPr>
      <t>Weidmuller Electronic power supply</t>
    </r>
  </si>
  <si>
    <r>
      <rPr>
        <sz val="8"/>
        <rFont val="Calibri"/>
        <family val="1"/>
      </rPr>
      <t>ZCT290L-LNT</t>
    </r>
  </si>
  <si>
    <r>
      <rPr>
        <sz val="8"/>
        <rFont val="Calibri"/>
        <family val="1"/>
      </rPr>
      <t>Inclinometers 5 Vdc</t>
    </r>
  </si>
  <si>
    <r>
      <rPr>
        <sz val="8"/>
        <rFont val="Calibri"/>
        <family val="1"/>
      </rPr>
      <t>M8 Screw KIT</t>
    </r>
  </si>
  <si>
    <r>
      <rPr>
        <sz val="8"/>
        <rFont val="Calibri"/>
        <family val="1"/>
      </rPr>
      <t>CD3230U4S53.06P3CL-R</t>
    </r>
  </si>
  <si>
    <r>
      <rPr>
        <sz val="8"/>
        <rFont val="Calibri"/>
        <family val="1"/>
      </rPr>
      <t>Screw Jack</t>
    </r>
  </si>
  <si>
    <r>
      <rPr>
        <sz val="8"/>
        <rFont val="Calibri"/>
        <family val="1"/>
      </rPr>
      <t>Joycedaysonscrewjack</t>
    </r>
  </si>
  <si>
    <r>
      <rPr>
        <sz val="8"/>
        <rFont val="Calibri"/>
        <family val="1"/>
      </rPr>
      <t>Joyce dayson screw jack protective boot</t>
    </r>
  </si>
  <si>
    <r>
      <rPr>
        <sz val="8"/>
        <rFont val="Calibri"/>
        <family val="1"/>
      </rPr>
      <t>BOOT(30T)(T4)(53.75"</t>
    </r>
  </si>
  <si>
    <r>
      <rPr>
        <b/>
        <sz val="8"/>
        <rFont val="Calibri"/>
        <family val="1"/>
      </rPr>
      <t>UPS  (UPS)</t>
    </r>
  </si>
  <si>
    <r>
      <rPr>
        <sz val="8"/>
        <rFont val="Calibri"/>
        <family val="1"/>
      </rPr>
      <t>3915100120/s</t>
    </r>
  </si>
  <si>
    <r>
      <rPr>
        <sz val="8"/>
        <rFont val="Calibri"/>
        <family val="1"/>
      </rPr>
      <t>SNMP Card Relay I/O</t>
    </r>
  </si>
  <si>
    <r>
      <rPr>
        <sz val="8"/>
        <rFont val="Calibri"/>
        <family val="1"/>
      </rPr>
      <t>3915100422/S</t>
    </r>
  </si>
  <si>
    <r>
      <rPr>
        <sz val="8"/>
        <rFont val="Calibri"/>
        <family val="1"/>
      </rPr>
      <t>Modbus Comms Card</t>
    </r>
  </si>
  <si>
    <r>
      <rPr>
        <sz val="8"/>
        <rFont val="Calibri"/>
        <family val="1"/>
      </rPr>
      <t>4amp500V1038100Ka</t>
    </r>
  </si>
  <si>
    <r>
      <rPr>
        <sz val="8"/>
        <rFont val="Calibri"/>
        <family val="1"/>
      </rPr>
      <t>Fuses 4 amp 500V 1038 100Ka</t>
    </r>
  </si>
  <si>
    <r>
      <rPr>
        <sz val="8"/>
        <rFont val="Calibri"/>
        <family val="1"/>
      </rPr>
      <t>6amp500V1038100Ka</t>
    </r>
  </si>
  <si>
    <r>
      <rPr>
        <sz val="8"/>
        <rFont val="Calibri"/>
        <family val="1"/>
      </rPr>
      <t>Fuses 6 amp 500V 1038 100Ka</t>
    </r>
  </si>
  <si>
    <r>
      <rPr>
        <sz val="8"/>
        <rFont val="Calibri"/>
        <family val="1"/>
      </rPr>
      <t>502R21</t>
    </r>
  </si>
  <si>
    <r>
      <rPr>
        <sz val="8"/>
        <rFont val="Calibri"/>
        <family val="1"/>
      </rPr>
      <t>Delta Ethernet/UPS Module</t>
    </r>
  </si>
  <si>
    <r>
      <rPr>
        <b/>
        <sz val="8"/>
        <rFont val="Calibri"/>
        <family val="1"/>
      </rPr>
      <t>Ventilation Systems  (Ventilation Systems)</t>
    </r>
  </si>
  <si>
    <r>
      <rPr>
        <sz val="8"/>
        <rFont val="Calibri"/>
        <family val="1"/>
      </rPr>
      <t>3AXD50000046648</t>
    </r>
  </si>
  <si>
    <r>
      <rPr>
        <sz val="8"/>
        <rFont val="Calibri"/>
        <family val="1"/>
      </rPr>
      <t>ABB ACH580-31-09A5-4PN:4kW, IN:9,4AProtection clas</t>
    </r>
  </si>
  <si>
    <r>
      <rPr>
        <sz val="8"/>
        <rFont val="Calibri"/>
        <family val="1"/>
      </rPr>
      <t>3AXD50000038987</t>
    </r>
  </si>
  <si>
    <r>
      <rPr>
        <sz val="8"/>
        <rFont val="Calibri"/>
        <family val="1"/>
      </rPr>
      <t>ABB ACH580-01-12A7-4 Pn 5,5 kW, I2n 12,6 A, Protec</t>
    </r>
  </si>
  <si>
    <r>
      <rPr>
        <sz val="8"/>
        <rFont val="Calibri"/>
        <family val="1"/>
      </rPr>
      <t>6ES7215-1AG40-0XB0</t>
    </r>
  </si>
  <si>
    <r>
      <rPr>
        <sz val="8"/>
        <rFont val="Calibri"/>
        <family val="1"/>
      </rPr>
      <t>Siemens S7 1200 CPU 1215C</t>
    </r>
  </si>
  <si>
    <r>
      <rPr>
        <sz val="8"/>
        <rFont val="Calibri"/>
        <family val="1"/>
      </rPr>
      <t>6AV2123-2DB03-0AX0</t>
    </r>
  </si>
  <si>
    <r>
      <rPr>
        <sz val="8"/>
        <rFont val="Calibri"/>
        <family val="1"/>
      </rPr>
      <t>SIMATIC HMI, KTP400 Basic</t>
    </r>
  </si>
  <si>
    <r>
      <rPr>
        <sz val="8"/>
        <rFont val="Calibri"/>
        <family val="1"/>
      </rPr>
      <t>6ES7231-5PD32-0XB0</t>
    </r>
  </si>
  <si>
    <r>
      <rPr>
        <sz val="8"/>
        <rFont val="Calibri"/>
        <family val="1"/>
      </rPr>
      <t>SIMATIC S7-1200, Analog input, SM 1231 RTD, 4xAI R</t>
    </r>
  </si>
  <si>
    <r>
      <rPr>
        <sz val="8"/>
        <rFont val="Calibri"/>
        <family val="1"/>
      </rPr>
      <t>6ES7972-0BA52-0XA0</t>
    </r>
  </si>
  <si>
    <r>
      <rPr>
        <sz val="8"/>
        <rFont val="Calibri"/>
        <family val="1"/>
      </rPr>
      <t>SIMATIC DP, Connection plug for PROFIBUS up to 12</t>
    </r>
  </si>
  <si>
    <r>
      <rPr>
        <sz val="8"/>
        <rFont val="Calibri"/>
        <family val="1"/>
      </rPr>
      <t>DM-2012-LCD</t>
    </r>
  </si>
  <si>
    <r>
      <rPr>
        <sz val="8"/>
        <rFont val="Calibri"/>
        <family val="1"/>
      </rPr>
      <t>DWYER DIGIHELICDIFFERENTIAL PRESSURE TRANSMITTER</t>
    </r>
  </si>
  <si>
    <r>
      <rPr>
        <sz val="8"/>
        <rFont val="Calibri"/>
        <family val="1"/>
      </rPr>
      <t>MODEL 2000-500PA</t>
    </r>
  </si>
  <si>
    <r>
      <rPr>
        <sz val="8"/>
        <rFont val="Calibri"/>
        <family val="1"/>
      </rPr>
      <t>DWYER MAGNEHELICDIFFERENTIAL PRESSURE TRANSMITTER</t>
    </r>
  </si>
  <si>
    <r>
      <rPr>
        <sz val="8"/>
        <rFont val="Calibri"/>
        <family val="1"/>
      </rPr>
      <t>6A 1CO SLIM RELAY INTERFACE 24VAC/DC</t>
    </r>
  </si>
  <si>
    <r>
      <rPr>
        <sz val="8"/>
        <rFont val="Calibri"/>
        <family val="1"/>
      </rPr>
      <t>7A 4CO MINI PLUG-IN RELAY 24VDC</t>
    </r>
  </si>
  <si>
    <r>
      <rPr>
        <sz val="8"/>
        <rFont val="Calibri"/>
        <family val="1"/>
      </rPr>
      <t>9402SPA</t>
    </r>
  </si>
  <si>
    <r>
      <rPr>
        <sz val="8"/>
        <rFont val="Calibri"/>
        <family val="1"/>
      </rPr>
      <t>55 SER 4P SURF/RAIL MOUNT REL SOCKET</t>
    </r>
  </si>
  <si>
    <r>
      <rPr>
        <sz val="8"/>
        <rFont val="Calibri"/>
        <family val="1"/>
      </rPr>
      <t>PT100</t>
    </r>
  </si>
  <si>
    <r>
      <rPr>
        <sz val="8"/>
        <rFont val="Calibri"/>
        <family val="1"/>
      </rPr>
      <t>Temperature Sensor</t>
    </r>
  </si>
  <si>
    <r>
      <rPr>
        <sz val="8"/>
        <rFont val="Calibri"/>
        <family val="1"/>
      </rPr>
      <t>ø630mm PF63R Impelle</t>
    </r>
  </si>
  <si>
    <r>
      <rPr>
        <sz val="8"/>
        <rFont val="Calibri"/>
        <family val="1"/>
      </rPr>
      <t>INVERTER FAN IMPELLER</t>
    </r>
  </si>
  <si>
    <r>
      <rPr>
        <sz val="8"/>
        <rFont val="Calibri"/>
        <family val="1"/>
      </rPr>
      <t>ø560mm PF56R Impelle</t>
    </r>
  </si>
  <si>
    <r>
      <rPr>
        <sz val="8"/>
        <rFont val="Calibri"/>
        <family val="1"/>
      </rPr>
      <t>TRANSFORMER FAN IMPELLER</t>
    </r>
  </si>
  <si>
    <r>
      <rPr>
        <sz val="8"/>
        <rFont val="Calibri"/>
        <family val="1"/>
      </rPr>
      <t>5.5kW Premium Effici</t>
    </r>
  </si>
  <si>
    <r>
      <rPr>
        <sz val="8"/>
        <rFont val="Calibri"/>
        <family val="1"/>
      </rPr>
      <t>INVERTER FAN MOTOR</t>
    </r>
  </si>
  <si>
    <r>
      <rPr>
        <sz val="8"/>
        <rFont val="Calibri"/>
        <family val="1"/>
      </rPr>
      <t>Filter 710W x 1090L</t>
    </r>
  </si>
  <si>
    <r>
      <rPr>
        <sz val="8"/>
        <rFont val="Calibri"/>
        <family val="1"/>
      </rPr>
      <t>PGSSNSG000 - Panel Filter - 710Wx1090Lx 48mm</t>
    </r>
  </si>
  <si>
    <r>
      <rPr>
        <sz val="8"/>
        <rFont val="Calibri"/>
        <family val="1"/>
      </rPr>
      <t>Filter 1000W x 1200L</t>
    </r>
  </si>
  <si>
    <r>
      <rPr>
        <sz val="8"/>
        <rFont val="Calibri"/>
        <family val="1"/>
      </rPr>
      <t>PGSSNSG000 - Panel Filter 1000W x 1200L x 48mm</t>
    </r>
  </si>
  <si>
    <r>
      <rPr>
        <sz val="8"/>
        <rFont val="Calibri"/>
        <family val="1"/>
      </rPr>
      <t>3kW Premium Efficien</t>
    </r>
  </si>
  <si>
    <r>
      <rPr>
        <sz val="8"/>
        <rFont val="Calibri"/>
        <family val="1"/>
      </rPr>
      <t>TRANSFORMER FAN MOTOR</t>
    </r>
  </si>
  <si>
    <r>
      <rPr>
        <b/>
        <sz val="8"/>
        <rFont val="Calibri"/>
        <family val="1"/>
      </rPr>
      <t>Weather Station  (Weather Station)</t>
    </r>
  </si>
  <si>
    <r>
      <rPr>
        <sz val="8"/>
        <rFont val="Calibri"/>
        <family val="1"/>
      </rPr>
      <t>Campell CX 1000x</t>
    </r>
  </si>
  <si>
    <r>
      <rPr>
        <sz val="8"/>
        <rFont val="Calibri"/>
        <family val="1"/>
      </rPr>
      <t>CMP11</t>
    </r>
  </si>
  <si>
    <r>
      <rPr>
        <sz val="8"/>
        <rFont val="Calibri"/>
        <family val="1"/>
      </rPr>
      <t>Pyranometer CMP 11</t>
    </r>
  </si>
  <si>
    <r>
      <rPr>
        <sz val="8"/>
        <rFont val="Calibri"/>
        <family val="1"/>
      </rPr>
      <t>Dustvue-01</t>
    </r>
  </si>
  <si>
    <r>
      <rPr>
        <sz val="8"/>
        <rFont val="Calibri"/>
        <family val="1"/>
      </rPr>
      <t>Dust IQ</t>
    </r>
  </si>
  <si>
    <r>
      <rPr>
        <sz val="8"/>
        <rFont val="Calibri"/>
        <family val="1"/>
      </rPr>
      <t>H122P22-CY2PRx0.22</t>
    </r>
  </si>
  <si>
    <r>
      <rPr>
        <sz val="8"/>
        <rFont val="Calibri"/>
        <family val="1"/>
      </rPr>
      <t>Solar Irradiance Sensor Supply Cable</t>
    </r>
  </si>
  <si>
    <r>
      <rPr>
        <sz val="8"/>
        <rFont val="Calibri"/>
        <family val="1"/>
      </rPr>
      <t>Moxa ISD 1230-T</t>
    </r>
  </si>
  <si>
    <r>
      <rPr>
        <sz val="8"/>
        <rFont val="Calibri"/>
        <family val="1"/>
      </rPr>
      <t>SDI12 MPPT</t>
    </r>
  </si>
  <si>
    <r>
      <rPr>
        <sz val="8"/>
        <rFont val="Calibri"/>
        <family val="1"/>
      </rPr>
      <t>SI-l-420TC-D</t>
    </r>
  </si>
  <si>
    <r>
      <rPr>
        <sz val="8"/>
        <rFont val="Calibri"/>
        <family val="1"/>
      </rPr>
      <t>Ref Cell Solar Irrad Sensor-IMTModel Si-I-420TC-D</t>
    </r>
  </si>
  <si>
    <r>
      <rPr>
        <sz val="8"/>
        <rFont val="Calibri"/>
        <family val="1"/>
      </rPr>
      <t>STD800 12VMoun Frame</t>
    </r>
  </si>
  <si>
    <r>
      <rPr>
        <sz val="8"/>
        <rFont val="Calibri"/>
        <family val="1"/>
      </rPr>
      <t>STD 800 12V 80 W Solar Module MOUNTING Frame</t>
    </r>
  </si>
  <si>
    <r>
      <rPr>
        <sz val="8"/>
        <rFont val="Calibri"/>
        <family val="1"/>
      </rPr>
      <t>UD1100002-01</t>
    </r>
  </si>
  <si>
    <r>
      <rPr>
        <sz val="8"/>
        <rFont val="Calibri"/>
        <family val="1"/>
      </rPr>
      <t>Serial to Ethernet Converter</t>
    </r>
  </si>
  <si>
    <r>
      <rPr>
        <sz val="8"/>
        <rFont val="Calibri"/>
        <family val="1"/>
      </rPr>
      <t>US HTS 8517.69.0000</t>
    </r>
  </si>
  <si>
    <r>
      <rPr>
        <sz val="8"/>
        <rFont val="Calibri"/>
        <family val="1"/>
      </rPr>
      <t>Ethernet  Adapter</t>
    </r>
  </si>
  <si>
    <r>
      <rPr>
        <sz val="8"/>
        <rFont val="Calibri"/>
        <family val="1"/>
      </rPr>
      <t>US HTS 8517.80.0000</t>
    </r>
  </si>
  <si>
    <r>
      <rPr>
        <sz val="8"/>
        <rFont val="Calibri"/>
        <family val="1"/>
      </rPr>
      <t>WP56 ZA-ZEC-PTG</t>
    </r>
  </si>
  <si>
    <r>
      <rPr>
        <sz val="8"/>
        <rFont val="Calibri"/>
        <family val="1"/>
      </rPr>
      <t>STD 800 12V 80 W Solar Module</t>
    </r>
  </si>
  <si>
    <r>
      <rPr>
        <sz val="8"/>
        <color rgb="FF808080"/>
        <rFont val="Calibri"/>
        <family val="1"/>
      </rPr>
      <t>Sage 200 Evolution (Registered to Renewable Management (Pty) Ltd)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</si>
</sst>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.0"/>
  </numFmts>
  <fonts count="16" x14ac:knownFonts="1">
    <font>
      <sz val="10"/>
      <color rgb="FF000000"/>
      <name val="Times New Roman"/>
      <charset val="204"/>
    </font>
    <font>
      <b/>
      <sz val="14"/>
      <name val="Calibri"/>
    </font>
    <font>
      <sz val="14"/>
      <name val="Calibri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4"/>
      <color rgb="FF000080"/>
      <name val="Calibri"/>
      <family val="1"/>
    </font>
    <font>
      <sz val="14"/>
      <name val="Calibri"/>
      <family val="1"/>
    </font>
    <font>
      <sz val="8"/>
      <color rgb="FF808080"/>
      <name val="Calibri"/>
      <family val="1"/>
    </font>
    <font>
      <b/>
      <u/>
      <sz val="8"/>
      <name val="Calibri"/>
      <family val="1"/>
    </font>
    <font>
      <b/>
      <sz val="8"/>
      <name val="Calibri"/>
      <family val="1"/>
    </font>
    <font>
      <sz val="8"/>
      <name val="Calibri"/>
      <family val="1"/>
    </font>
    <font>
      <sz val="8"/>
      <name val="Times New Roman"/>
      <charset val="204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1" fontId="5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1" fontId="5" fillId="0" borderId="0" xfId="0" applyNumberFormat="1" applyFont="1" applyAlignment="1">
      <alignment horizontal="left" vertical="top" shrinkToFit="1"/>
    </xf>
    <xf numFmtId="164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center" vertical="top" shrinkToFit="1"/>
    </xf>
    <xf numFmtId="165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right" vertical="top" wrapText="1" indent="5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2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1" fontId="5" fillId="0" borderId="0" xfId="0" applyNumberFormat="1" applyFont="1" applyAlignment="1">
      <alignment horizontal="right" vertical="top" indent="4" shrinkToFit="1"/>
    </xf>
    <xf numFmtId="0" fontId="3" fillId="0" borderId="0" xfId="0" applyFont="1" applyAlignment="1">
      <alignment horizontal="left" wrapText="1"/>
    </xf>
    <xf numFmtId="1" fontId="14" fillId="0" borderId="0" xfId="0" applyNumberFormat="1" applyFont="1" applyAlignment="1">
      <alignment horizontal="center" wrapText="1"/>
    </xf>
    <xf numFmtId="0" fontId="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1" fontId="15" fillId="2" borderId="0" xfId="0" applyNumberFormat="1" applyFont="1" applyFill="1" applyAlignment="1">
      <alignment horizontal="center" wrapText="1"/>
    </xf>
    <xf numFmtId="1" fontId="6" fillId="2" borderId="0" xfId="0" applyNumberFormat="1" applyFont="1" applyFill="1" applyAlignment="1">
      <alignment horizontal="center" vertical="top" shrinkToFit="1"/>
    </xf>
    <xf numFmtId="0" fontId="0" fillId="2" borderId="0" xfId="0" applyFill="1" applyAlignment="1">
      <alignment wrapText="1"/>
    </xf>
    <xf numFmtId="1" fontId="5" fillId="2" borderId="0" xfId="0" applyNumberFormat="1" applyFont="1" applyFill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"/>
  <sheetViews>
    <sheetView tabSelected="1" topLeftCell="A276" workbookViewId="0">
      <selection activeCell="E68" sqref="E68"/>
    </sheetView>
  </sheetViews>
  <sheetFormatPr defaultRowHeight="12.75" x14ac:dyDescent="0.2"/>
  <cols>
    <col min="1" max="2" width="25.5" customWidth="1"/>
    <col min="3" max="3" width="53.5" customWidth="1"/>
    <col min="4" max="4" width="11.5" customWidth="1"/>
    <col min="5" max="5" width="10.5" customWidth="1"/>
    <col min="6" max="6" width="14" style="20" customWidth="1"/>
    <col min="7" max="7" width="2.1640625" customWidth="1"/>
    <col min="8" max="8" width="18.6640625" customWidth="1"/>
  </cols>
  <sheetData>
    <row r="1" spans="1:7" ht="21" customHeight="1" x14ac:dyDescent="0.2">
      <c r="A1" s="22" t="s">
        <v>0</v>
      </c>
      <c r="B1" s="22"/>
      <c r="C1" s="22"/>
      <c r="D1" s="22"/>
      <c r="E1" s="22"/>
      <c r="F1" s="22"/>
    </row>
    <row r="2" spans="1:7" ht="21" customHeight="1" x14ac:dyDescent="0.2">
      <c r="A2" s="23" t="s">
        <v>1</v>
      </c>
      <c r="B2" s="23"/>
      <c r="C2" s="23"/>
      <c r="D2" s="23"/>
      <c r="E2" s="23"/>
      <c r="F2" s="23"/>
    </row>
    <row r="3" spans="1:7" ht="12" customHeight="1" x14ac:dyDescent="0.2">
      <c r="A3" s="24" t="s">
        <v>2</v>
      </c>
      <c r="B3" s="24"/>
      <c r="C3" s="24"/>
      <c r="D3" s="24"/>
      <c r="E3" s="24"/>
      <c r="F3" s="24"/>
      <c r="G3" s="24"/>
    </row>
    <row r="4" spans="1:7" ht="13.9" customHeight="1" x14ac:dyDescent="0.2">
      <c r="A4" s="2" t="s">
        <v>3</v>
      </c>
      <c r="B4" s="3" t="s">
        <v>4</v>
      </c>
      <c r="C4" s="4" t="s">
        <v>5</v>
      </c>
      <c r="D4" s="4" t="s">
        <v>6</v>
      </c>
      <c r="E4" s="5" t="s">
        <v>7</v>
      </c>
      <c r="F4" s="17" t="s">
        <v>8</v>
      </c>
    </row>
    <row r="5" spans="1:7" ht="14.25" customHeight="1" x14ac:dyDescent="0.2">
      <c r="A5" s="25" t="s">
        <v>9</v>
      </c>
      <c r="B5" s="25"/>
      <c r="C5" s="25"/>
      <c r="D5" s="25"/>
      <c r="E5" s="25"/>
      <c r="F5" s="25"/>
    </row>
    <row r="6" spans="1:7" ht="13.5" customHeight="1" x14ac:dyDescent="0.2">
      <c r="A6" s="11">
        <v>56</v>
      </c>
      <c r="B6" s="6">
        <v>376243116</v>
      </c>
      <c r="C6" s="7" t="s">
        <v>10</v>
      </c>
      <c r="D6" s="8"/>
      <c r="E6" s="9">
        <v>2</v>
      </c>
      <c r="F6" s="11">
        <v>1</v>
      </c>
    </row>
    <row r="7" spans="1:7" ht="13.5" customHeight="1" x14ac:dyDescent="0.2">
      <c r="A7" s="11">
        <v>57</v>
      </c>
      <c r="B7" s="10">
        <v>110123201</v>
      </c>
      <c r="C7" s="7" t="s">
        <v>11</v>
      </c>
      <c r="D7" s="7" t="s">
        <v>12</v>
      </c>
      <c r="E7" s="9">
        <v>4</v>
      </c>
      <c r="F7" s="11">
        <v>0</v>
      </c>
    </row>
    <row r="8" spans="1:7" ht="12" customHeight="1" x14ac:dyDescent="0.2">
      <c r="A8" s="30" t="s">
        <v>13</v>
      </c>
      <c r="B8" s="31"/>
      <c r="C8" s="31"/>
      <c r="D8" s="31"/>
      <c r="E8" s="31"/>
      <c r="F8" s="33">
        <f>SUM(F6:F7)</f>
        <v>1</v>
      </c>
    </row>
    <row r="9" spans="1:7" ht="12" customHeight="1" x14ac:dyDescent="0.2">
      <c r="A9" s="25" t="s">
        <v>14</v>
      </c>
      <c r="B9" s="25"/>
      <c r="C9" s="25"/>
      <c r="D9" s="25"/>
      <c r="E9" s="25"/>
      <c r="F9" s="25"/>
    </row>
    <row r="10" spans="1:7" ht="13.5" customHeight="1" x14ac:dyDescent="0.2">
      <c r="A10" s="11">
        <v>58</v>
      </c>
      <c r="B10" s="1" t="s">
        <v>15</v>
      </c>
      <c r="C10" s="7" t="s">
        <v>16</v>
      </c>
      <c r="D10" s="7" t="s">
        <v>12</v>
      </c>
      <c r="E10" s="9">
        <v>5</v>
      </c>
      <c r="F10" s="11">
        <v>0</v>
      </c>
    </row>
    <row r="11" spans="1:7" ht="12" customHeight="1" x14ac:dyDescent="0.2">
      <c r="A11" s="11">
        <v>59</v>
      </c>
      <c r="B11" s="1" t="s">
        <v>17</v>
      </c>
      <c r="C11" s="7" t="s">
        <v>18</v>
      </c>
      <c r="D11" s="7" t="s">
        <v>12</v>
      </c>
      <c r="E11" s="9">
        <v>3</v>
      </c>
      <c r="F11" s="11">
        <v>7</v>
      </c>
    </row>
    <row r="12" spans="1:7" ht="12" customHeight="1" x14ac:dyDescent="0.2">
      <c r="A12" s="11">
        <v>60</v>
      </c>
      <c r="B12" s="1" t="s">
        <v>19</v>
      </c>
      <c r="C12" s="7" t="s">
        <v>20</v>
      </c>
      <c r="D12" s="7" t="s">
        <v>12</v>
      </c>
      <c r="E12" s="9">
        <v>3</v>
      </c>
      <c r="F12" s="11">
        <v>2</v>
      </c>
    </row>
    <row r="13" spans="1:7" ht="12" customHeight="1" x14ac:dyDescent="0.2">
      <c r="A13" s="11">
        <v>61</v>
      </c>
      <c r="B13" s="1" t="s">
        <v>21</v>
      </c>
      <c r="C13" s="7" t="s">
        <v>22</v>
      </c>
      <c r="D13" s="7" t="s">
        <v>12</v>
      </c>
      <c r="E13" s="9">
        <v>25</v>
      </c>
      <c r="F13" s="11">
        <v>7</v>
      </c>
    </row>
    <row r="14" spans="1:7" ht="12" customHeight="1" x14ac:dyDescent="0.2">
      <c r="A14" s="11">
        <v>62</v>
      </c>
      <c r="B14" s="1" t="s">
        <v>23</v>
      </c>
      <c r="C14" s="7" t="s">
        <v>24</v>
      </c>
      <c r="D14" s="7" t="s">
        <v>12</v>
      </c>
      <c r="E14" s="9">
        <v>3</v>
      </c>
      <c r="F14" s="11">
        <v>8</v>
      </c>
    </row>
    <row r="15" spans="1:7" ht="12" customHeight="1" x14ac:dyDescent="0.2">
      <c r="A15" s="11">
        <v>63</v>
      </c>
      <c r="B15" s="1" t="s">
        <v>25</v>
      </c>
      <c r="C15" s="7" t="s">
        <v>26</v>
      </c>
      <c r="D15" s="7" t="s">
        <v>12</v>
      </c>
      <c r="E15" s="9">
        <v>6</v>
      </c>
      <c r="F15" s="11">
        <v>6</v>
      </c>
    </row>
    <row r="16" spans="1:7" ht="12" customHeight="1" x14ac:dyDescent="0.2">
      <c r="A16" s="11">
        <v>64</v>
      </c>
      <c r="B16" s="1" t="s">
        <v>27</v>
      </c>
      <c r="C16" s="7" t="s">
        <v>28</v>
      </c>
      <c r="D16" s="7" t="s">
        <v>12</v>
      </c>
      <c r="E16" s="9">
        <v>1</v>
      </c>
      <c r="F16" s="11">
        <v>0</v>
      </c>
    </row>
    <row r="17" spans="1:6" ht="13.5" customHeight="1" x14ac:dyDescent="0.2">
      <c r="A17" s="11">
        <v>65</v>
      </c>
      <c r="B17" s="1" t="s">
        <v>29</v>
      </c>
      <c r="C17" s="7" t="s">
        <v>30</v>
      </c>
      <c r="D17" s="7" t="s">
        <v>12</v>
      </c>
      <c r="E17" s="9">
        <v>1</v>
      </c>
      <c r="F17" s="11">
        <v>2</v>
      </c>
    </row>
    <row r="18" spans="1:6" ht="12" customHeight="1" x14ac:dyDescent="0.2">
      <c r="A18" s="30" t="s">
        <v>13</v>
      </c>
      <c r="B18" s="31"/>
      <c r="C18" s="31"/>
      <c r="D18" s="31"/>
      <c r="E18" s="31"/>
      <c r="F18" s="33">
        <f>SUM(F10:F17)</f>
        <v>32</v>
      </c>
    </row>
    <row r="19" spans="1:6" ht="12" customHeight="1" x14ac:dyDescent="0.2">
      <c r="A19" s="25" t="s">
        <v>31</v>
      </c>
      <c r="B19" s="25"/>
      <c r="C19" s="25"/>
      <c r="D19" s="25"/>
      <c r="E19" s="25"/>
      <c r="F19" s="25"/>
    </row>
    <row r="20" spans="1:6" ht="13.5" customHeight="1" x14ac:dyDescent="0.2">
      <c r="A20" s="11">
        <v>68</v>
      </c>
      <c r="B20" s="1" t="s">
        <v>32</v>
      </c>
      <c r="C20" s="7" t="s">
        <v>33</v>
      </c>
      <c r="D20" s="8"/>
      <c r="E20" s="9">
        <v>2</v>
      </c>
      <c r="F20" s="11">
        <v>9</v>
      </c>
    </row>
    <row r="21" spans="1:6" ht="12" customHeight="1" x14ac:dyDescent="0.2">
      <c r="A21" s="11">
        <v>69</v>
      </c>
      <c r="B21" s="6">
        <v>354180</v>
      </c>
      <c r="C21" s="7" t="s">
        <v>34</v>
      </c>
      <c r="D21" s="7" t="s">
        <v>12</v>
      </c>
      <c r="E21" s="9">
        <v>9</v>
      </c>
      <c r="F21" s="11">
        <v>5</v>
      </c>
    </row>
    <row r="22" spans="1:6" ht="12" customHeight="1" x14ac:dyDescent="0.2">
      <c r="A22" s="11">
        <v>70</v>
      </c>
      <c r="B22" s="6">
        <v>357000</v>
      </c>
      <c r="C22" s="7" t="s">
        <v>35</v>
      </c>
      <c r="D22" s="7" t="s">
        <v>12</v>
      </c>
      <c r="E22" s="9">
        <v>33</v>
      </c>
      <c r="F22" s="11">
        <v>0</v>
      </c>
    </row>
    <row r="23" spans="1:6" ht="12" customHeight="1" x14ac:dyDescent="0.2">
      <c r="A23" s="12">
        <v>70.099999999999994</v>
      </c>
      <c r="B23" s="6">
        <v>357010</v>
      </c>
      <c r="C23" s="7" t="s">
        <v>35</v>
      </c>
      <c r="D23" s="7" t="s">
        <v>12</v>
      </c>
      <c r="E23" s="9">
        <v>7</v>
      </c>
      <c r="F23" s="11">
        <v>7</v>
      </c>
    </row>
    <row r="24" spans="1:6" ht="12" customHeight="1" x14ac:dyDescent="0.2">
      <c r="A24" s="11">
        <v>71</v>
      </c>
      <c r="B24" s="1" t="s">
        <v>36</v>
      </c>
      <c r="C24" s="7" t="s">
        <v>37</v>
      </c>
      <c r="D24" s="7" t="s">
        <v>12</v>
      </c>
      <c r="E24" s="9">
        <v>32</v>
      </c>
      <c r="F24" s="11">
        <v>32</v>
      </c>
    </row>
    <row r="25" spans="1:6" ht="12" customHeight="1" x14ac:dyDescent="0.2">
      <c r="A25" s="11">
        <v>72</v>
      </c>
      <c r="B25" s="1" t="s">
        <v>38</v>
      </c>
      <c r="C25" s="7" t="s">
        <v>39</v>
      </c>
      <c r="D25" s="7" t="s">
        <v>12</v>
      </c>
      <c r="E25" s="9">
        <v>10</v>
      </c>
      <c r="F25" s="11">
        <v>10</v>
      </c>
    </row>
    <row r="26" spans="1:6" ht="13.5" customHeight="1" x14ac:dyDescent="0.2">
      <c r="A26" s="11">
        <v>73</v>
      </c>
      <c r="B26" s="1" t="s">
        <v>40</v>
      </c>
      <c r="C26" s="7" t="s">
        <v>41</v>
      </c>
      <c r="D26" s="7" t="s">
        <v>12</v>
      </c>
      <c r="E26" s="9">
        <v>6</v>
      </c>
      <c r="F26" s="11">
        <v>6</v>
      </c>
    </row>
    <row r="27" spans="1:6" ht="12" customHeight="1" x14ac:dyDescent="0.2">
      <c r="A27" s="30" t="s">
        <v>13</v>
      </c>
      <c r="B27" s="31"/>
      <c r="C27" s="31"/>
      <c r="D27" s="31"/>
      <c r="E27" s="35"/>
      <c r="F27" s="33">
        <f>SUM(F20:F26)</f>
        <v>69</v>
      </c>
    </row>
    <row r="28" spans="1:6" ht="12" customHeight="1" x14ac:dyDescent="0.2">
      <c r="A28" s="2" t="s">
        <v>42</v>
      </c>
      <c r="B28" s="8"/>
      <c r="C28" s="8"/>
      <c r="D28" s="8"/>
      <c r="E28" s="9"/>
      <c r="F28" s="19"/>
    </row>
    <row r="29" spans="1:6" ht="15" customHeight="1" x14ac:dyDescent="0.2">
      <c r="A29" s="11">
        <v>400</v>
      </c>
      <c r="B29" s="1" t="s">
        <v>43</v>
      </c>
      <c r="C29" s="7" t="s">
        <v>43</v>
      </c>
      <c r="D29" s="7"/>
      <c r="E29" s="9">
        <v>0</v>
      </c>
      <c r="F29" s="11">
        <v>0</v>
      </c>
    </row>
    <row r="30" spans="1:6" ht="12" customHeight="1" x14ac:dyDescent="0.2">
      <c r="A30" s="30" t="s">
        <v>13</v>
      </c>
      <c r="B30" s="31"/>
      <c r="C30" s="31"/>
      <c r="D30" s="31"/>
      <c r="E30" s="31"/>
      <c r="F30" s="33">
        <f>SUM(F29)</f>
        <v>0</v>
      </c>
    </row>
    <row r="31" spans="1:6" ht="12" customHeight="1" x14ac:dyDescent="0.2">
      <c r="A31" s="27"/>
      <c r="B31" s="27"/>
      <c r="C31" s="27"/>
      <c r="D31" s="27"/>
      <c r="E31" s="27"/>
      <c r="F31" s="11"/>
    </row>
    <row r="32" spans="1:6" ht="12" customHeight="1" x14ac:dyDescent="0.2">
      <c r="A32" s="26"/>
      <c r="B32" s="26"/>
      <c r="C32" s="26"/>
      <c r="D32" s="26"/>
      <c r="E32" s="26"/>
      <c r="F32" s="18"/>
    </row>
    <row r="33" spans="1:6" ht="12" customHeight="1" x14ac:dyDescent="0.2">
      <c r="A33" s="25" t="s">
        <v>44</v>
      </c>
      <c r="B33" s="25"/>
      <c r="C33" s="25"/>
      <c r="D33" s="25"/>
      <c r="E33" s="25"/>
      <c r="F33" s="25"/>
    </row>
    <row r="34" spans="1:6" ht="13.5" customHeight="1" x14ac:dyDescent="0.2">
      <c r="A34" s="11">
        <v>121</v>
      </c>
      <c r="B34" s="1" t="s">
        <v>45</v>
      </c>
      <c r="C34" s="7" t="s">
        <v>46</v>
      </c>
      <c r="D34" s="7" t="s">
        <v>12</v>
      </c>
      <c r="E34" s="9">
        <v>6</v>
      </c>
      <c r="F34" s="11">
        <v>6</v>
      </c>
    </row>
    <row r="35" spans="1:6" ht="12" customHeight="1" x14ac:dyDescent="0.2">
      <c r="A35" s="11">
        <v>122</v>
      </c>
      <c r="B35" s="1" t="s">
        <v>47</v>
      </c>
      <c r="C35" s="7" t="s">
        <v>47</v>
      </c>
      <c r="D35" s="7" t="s">
        <v>12</v>
      </c>
      <c r="E35" s="9">
        <v>5</v>
      </c>
      <c r="F35" s="11">
        <v>5</v>
      </c>
    </row>
    <row r="36" spans="1:6" ht="12" customHeight="1" x14ac:dyDescent="0.2">
      <c r="A36" s="11">
        <v>123</v>
      </c>
      <c r="B36" s="1" t="s">
        <v>48</v>
      </c>
      <c r="C36" s="7" t="s">
        <v>49</v>
      </c>
      <c r="D36" s="7" t="s">
        <v>12</v>
      </c>
      <c r="E36" s="9">
        <v>3</v>
      </c>
      <c r="F36" s="11">
        <v>3</v>
      </c>
    </row>
    <row r="37" spans="1:6" ht="12" customHeight="1" x14ac:dyDescent="0.2">
      <c r="A37" s="11">
        <v>124</v>
      </c>
      <c r="B37" s="1" t="s">
        <v>50</v>
      </c>
      <c r="C37" s="7" t="s">
        <v>51</v>
      </c>
      <c r="D37" s="7" t="s">
        <v>12</v>
      </c>
      <c r="E37" s="9">
        <v>50</v>
      </c>
      <c r="F37" s="11">
        <v>50</v>
      </c>
    </row>
    <row r="38" spans="1:6" ht="12" customHeight="1" x14ac:dyDescent="0.2">
      <c r="A38" s="11">
        <v>125</v>
      </c>
      <c r="B38" s="1" t="s">
        <v>52</v>
      </c>
      <c r="C38" s="7" t="s">
        <v>53</v>
      </c>
      <c r="D38" s="7" t="s">
        <v>12</v>
      </c>
      <c r="E38" s="9">
        <v>100</v>
      </c>
      <c r="F38" s="11">
        <v>34</v>
      </c>
    </row>
    <row r="39" spans="1:6" ht="12" customHeight="1" x14ac:dyDescent="0.2">
      <c r="A39" s="11">
        <v>126</v>
      </c>
      <c r="B39" s="1" t="s">
        <v>54</v>
      </c>
      <c r="C39" s="7" t="s">
        <v>55</v>
      </c>
      <c r="D39" s="7" t="s">
        <v>12</v>
      </c>
      <c r="E39" s="9">
        <v>100</v>
      </c>
      <c r="F39" s="11">
        <v>90</v>
      </c>
    </row>
    <row r="40" spans="1:6" ht="12" customHeight="1" x14ac:dyDescent="0.2">
      <c r="A40" s="11">
        <v>127</v>
      </c>
      <c r="B40" s="1" t="s">
        <v>56</v>
      </c>
      <c r="C40" s="7" t="s">
        <v>57</v>
      </c>
      <c r="D40" s="7" t="s">
        <v>12</v>
      </c>
      <c r="E40" s="9">
        <v>60</v>
      </c>
      <c r="F40" s="11">
        <v>60</v>
      </c>
    </row>
    <row r="41" spans="1:6" ht="12" customHeight="1" x14ac:dyDescent="0.2">
      <c r="A41" s="11">
        <v>128</v>
      </c>
      <c r="B41" s="1" t="s">
        <v>58</v>
      </c>
      <c r="C41" s="7" t="s">
        <v>59</v>
      </c>
      <c r="D41" s="7" t="s">
        <v>12</v>
      </c>
      <c r="E41" s="9">
        <v>50</v>
      </c>
      <c r="F41" s="11">
        <v>50</v>
      </c>
    </row>
    <row r="42" spans="1:6" ht="12" customHeight="1" x14ac:dyDescent="0.2">
      <c r="A42" s="11">
        <v>130</v>
      </c>
      <c r="B42" s="1" t="s">
        <v>60</v>
      </c>
      <c r="C42" s="7" t="s">
        <v>61</v>
      </c>
      <c r="D42" s="7" t="s">
        <v>12</v>
      </c>
      <c r="E42" s="9">
        <v>180</v>
      </c>
      <c r="F42" s="11">
        <v>0</v>
      </c>
    </row>
    <row r="43" spans="1:6" ht="13.5" customHeight="1" x14ac:dyDescent="0.2">
      <c r="A43" s="11">
        <v>131</v>
      </c>
      <c r="B43" s="1" t="s">
        <v>62</v>
      </c>
      <c r="C43" s="7" t="s">
        <v>63</v>
      </c>
      <c r="D43" s="7" t="s">
        <v>12</v>
      </c>
      <c r="E43" s="9">
        <v>4400</v>
      </c>
      <c r="F43" s="11">
        <v>0</v>
      </c>
    </row>
    <row r="44" spans="1:6" ht="12" customHeight="1" x14ac:dyDescent="0.2">
      <c r="A44" s="30" t="s">
        <v>13</v>
      </c>
      <c r="B44" s="31"/>
      <c r="C44" s="31"/>
      <c r="D44" s="31"/>
      <c r="E44" s="31"/>
      <c r="F44" s="33">
        <f>SUM(F34:F43)</f>
        <v>298</v>
      </c>
    </row>
    <row r="45" spans="1:6" ht="12" customHeight="1" x14ac:dyDescent="0.2">
      <c r="A45" s="2" t="s">
        <v>64</v>
      </c>
      <c r="B45" s="8"/>
      <c r="C45" s="8"/>
      <c r="D45" s="8"/>
      <c r="E45" s="8"/>
      <c r="F45" s="18"/>
    </row>
    <row r="46" spans="1:6" ht="13.5" customHeight="1" x14ac:dyDescent="0.2">
      <c r="A46" s="11">
        <v>67</v>
      </c>
      <c r="B46" s="1" t="s">
        <v>65</v>
      </c>
      <c r="C46" s="7" t="s">
        <v>65</v>
      </c>
      <c r="D46" s="7" t="s">
        <v>12</v>
      </c>
      <c r="E46" s="9">
        <v>2</v>
      </c>
      <c r="F46" s="11">
        <v>1</v>
      </c>
    </row>
    <row r="47" spans="1:6" ht="12" customHeight="1" x14ac:dyDescent="0.2">
      <c r="A47" s="11">
        <v>96</v>
      </c>
      <c r="B47" s="1" t="s">
        <v>66</v>
      </c>
      <c r="C47" s="7" t="s">
        <v>67</v>
      </c>
      <c r="D47" s="7" t="s">
        <v>12</v>
      </c>
      <c r="E47" s="9">
        <v>5</v>
      </c>
      <c r="F47" s="11">
        <v>0</v>
      </c>
    </row>
    <row r="48" spans="1:6" ht="12" customHeight="1" x14ac:dyDescent="0.2">
      <c r="A48" s="11">
        <v>97</v>
      </c>
      <c r="B48" s="1" t="s">
        <v>68</v>
      </c>
      <c r="C48" s="7" t="s">
        <v>69</v>
      </c>
      <c r="D48" s="7" t="s">
        <v>12</v>
      </c>
      <c r="E48" s="9">
        <v>10</v>
      </c>
      <c r="F48" s="11">
        <v>0</v>
      </c>
    </row>
    <row r="49" spans="1:6" ht="12" customHeight="1" x14ac:dyDescent="0.2">
      <c r="A49" s="11">
        <v>98</v>
      </c>
      <c r="B49" s="1" t="s">
        <v>70</v>
      </c>
      <c r="C49" s="7" t="s">
        <v>71</v>
      </c>
      <c r="D49" s="7" t="s">
        <v>12</v>
      </c>
      <c r="E49" s="9">
        <v>5</v>
      </c>
      <c r="F49" s="11">
        <v>0</v>
      </c>
    </row>
    <row r="50" spans="1:6" ht="12" customHeight="1" x14ac:dyDescent="0.2">
      <c r="A50" s="11">
        <v>99</v>
      </c>
      <c r="B50" s="1" t="s">
        <v>72</v>
      </c>
      <c r="C50" s="7" t="s">
        <v>73</v>
      </c>
      <c r="D50" s="7" t="s">
        <v>12</v>
      </c>
      <c r="E50" s="9">
        <v>5</v>
      </c>
      <c r="F50" s="11">
        <v>0</v>
      </c>
    </row>
    <row r="51" spans="1:6" ht="12" customHeight="1" x14ac:dyDescent="0.2">
      <c r="A51" s="11">
        <v>100</v>
      </c>
      <c r="B51" s="1" t="s">
        <v>74</v>
      </c>
      <c r="C51" s="7" t="s">
        <v>75</v>
      </c>
      <c r="D51" s="7" t="s">
        <v>12</v>
      </c>
      <c r="E51" s="9">
        <v>5</v>
      </c>
      <c r="F51" s="11">
        <v>0</v>
      </c>
    </row>
    <row r="52" spans="1:6" ht="12" customHeight="1" x14ac:dyDescent="0.2">
      <c r="A52" s="11">
        <v>101</v>
      </c>
      <c r="B52" s="1" t="s">
        <v>76</v>
      </c>
      <c r="C52" s="7" t="s">
        <v>77</v>
      </c>
      <c r="D52" s="7" t="s">
        <v>12</v>
      </c>
      <c r="E52" s="9">
        <v>5</v>
      </c>
      <c r="F52" s="11">
        <v>0</v>
      </c>
    </row>
    <row r="53" spans="1:6" ht="12" customHeight="1" x14ac:dyDescent="0.2">
      <c r="A53" s="11">
        <v>102</v>
      </c>
      <c r="B53" s="1" t="s">
        <v>78</v>
      </c>
      <c r="C53" s="7" t="s">
        <v>79</v>
      </c>
      <c r="D53" s="7" t="s">
        <v>12</v>
      </c>
      <c r="E53" s="9">
        <v>5</v>
      </c>
      <c r="F53" s="11">
        <v>0</v>
      </c>
    </row>
    <row r="54" spans="1:6" ht="12" customHeight="1" x14ac:dyDescent="0.2">
      <c r="A54" s="11">
        <v>103</v>
      </c>
      <c r="B54" s="1" t="s">
        <v>80</v>
      </c>
      <c r="C54" s="7" t="s">
        <v>81</v>
      </c>
      <c r="D54" s="7" t="s">
        <v>12</v>
      </c>
      <c r="E54" s="9">
        <v>5</v>
      </c>
      <c r="F54" s="11">
        <v>0</v>
      </c>
    </row>
    <row r="55" spans="1:6" ht="12" customHeight="1" x14ac:dyDescent="0.2">
      <c r="A55" s="11">
        <v>104</v>
      </c>
      <c r="B55" s="1" t="s">
        <v>82</v>
      </c>
      <c r="C55" s="7" t="s">
        <v>82</v>
      </c>
      <c r="D55" s="7" t="s">
        <v>12</v>
      </c>
      <c r="E55" s="9">
        <v>30</v>
      </c>
      <c r="F55" s="11">
        <v>0</v>
      </c>
    </row>
    <row r="56" spans="1:6" ht="12" customHeight="1" x14ac:dyDescent="0.2">
      <c r="A56" s="11">
        <v>105</v>
      </c>
      <c r="B56" s="1" t="s">
        <v>83</v>
      </c>
      <c r="C56" s="7" t="s">
        <v>83</v>
      </c>
      <c r="D56" s="7" t="s">
        <v>12</v>
      </c>
      <c r="E56" s="9">
        <v>25</v>
      </c>
      <c r="F56" s="11">
        <v>0</v>
      </c>
    </row>
    <row r="57" spans="1:6" ht="12" customHeight="1" x14ac:dyDescent="0.2">
      <c r="A57" s="12">
        <v>107.2</v>
      </c>
      <c r="B57" s="6">
        <v>730010</v>
      </c>
      <c r="C57" s="7" t="s">
        <v>84</v>
      </c>
      <c r="D57" s="7" t="s">
        <v>12</v>
      </c>
      <c r="E57" s="9">
        <v>3</v>
      </c>
      <c r="F57" s="11">
        <v>3</v>
      </c>
    </row>
    <row r="58" spans="1:6" ht="12" customHeight="1" x14ac:dyDescent="0.2">
      <c r="A58" s="11">
        <v>137</v>
      </c>
      <c r="B58" s="1" t="s">
        <v>85</v>
      </c>
      <c r="C58" s="7" t="s">
        <v>86</v>
      </c>
      <c r="D58" s="7" t="s">
        <v>87</v>
      </c>
      <c r="E58" s="9">
        <v>1</v>
      </c>
      <c r="F58" s="11">
        <v>1</v>
      </c>
    </row>
    <row r="59" spans="1:6" ht="12" customHeight="1" x14ac:dyDescent="0.2">
      <c r="A59" s="11">
        <v>138</v>
      </c>
      <c r="B59" s="1" t="s">
        <v>88</v>
      </c>
      <c r="C59" s="7" t="s">
        <v>88</v>
      </c>
      <c r="D59" s="7" t="s">
        <v>87</v>
      </c>
      <c r="E59" s="9">
        <v>1</v>
      </c>
      <c r="F59" s="11">
        <v>1</v>
      </c>
    </row>
    <row r="60" spans="1:6" ht="12" customHeight="1" x14ac:dyDescent="0.2">
      <c r="A60" s="11">
        <v>139</v>
      </c>
      <c r="B60" s="1" t="s">
        <v>89</v>
      </c>
      <c r="C60" s="7" t="s">
        <v>90</v>
      </c>
      <c r="D60" s="7" t="s">
        <v>12</v>
      </c>
      <c r="E60" s="9">
        <v>1</v>
      </c>
      <c r="F60" s="11">
        <v>1</v>
      </c>
    </row>
    <row r="61" spans="1:6" ht="12" customHeight="1" x14ac:dyDescent="0.2">
      <c r="A61" s="11">
        <v>140</v>
      </c>
      <c r="B61" s="1" t="s">
        <v>91</v>
      </c>
      <c r="C61" s="7" t="s">
        <v>92</v>
      </c>
      <c r="D61" s="7" t="s">
        <v>12</v>
      </c>
      <c r="E61" s="9">
        <v>1</v>
      </c>
      <c r="F61" s="11">
        <v>1</v>
      </c>
    </row>
    <row r="62" spans="1:6" ht="12" customHeight="1" x14ac:dyDescent="0.2">
      <c r="A62" s="12">
        <v>140.1</v>
      </c>
      <c r="B62" s="1" t="s">
        <v>93</v>
      </c>
      <c r="C62" s="7" t="s">
        <v>94</v>
      </c>
      <c r="D62" s="7" t="s">
        <v>12</v>
      </c>
      <c r="E62" s="9">
        <v>1</v>
      </c>
      <c r="F62" s="11">
        <v>1</v>
      </c>
    </row>
    <row r="63" spans="1:6" ht="12" customHeight="1" x14ac:dyDescent="0.2">
      <c r="A63" s="11">
        <v>141</v>
      </c>
      <c r="B63" s="1" t="s">
        <v>95</v>
      </c>
      <c r="C63" s="7" t="s">
        <v>96</v>
      </c>
      <c r="D63" s="7" t="s">
        <v>12</v>
      </c>
      <c r="E63" s="9">
        <v>1</v>
      </c>
      <c r="F63" s="11">
        <v>1</v>
      </c>
    </row>
    <row r="64" spans="1:6" ht="12" customHeight="1" x14ac:dyDescent="0.2">
      <c r="A64" s="11">
        <v>143</v>
      </c>
      <c r="B64" s="1" t="s">
        <v>97</v>
      </c>
      <c r="C64" s="7" t="s">
        <v>98</v>
      </c>
      <c r="D64" s="7" t="s">
        <v>12</v>
      </c>
      <c r="E64" s="9">
        <v>1</v>
      </c>
      <c r="F64" s="11">
        <v>0</v>
      </c>
    </row>
    <row r="65" spans="1:6" ht="12" customHeight="1" x14ac:dyDescent="0.2">
      <c r="A65" s="11">
        <v>144</v>
      </c>
      <c r="B65" s="1" t="s">
        <v>99</v>
      </c>
      <c r="C65" s="7" t="s">
        <v>100</v>
      </c>
      <c r="D65" s="7" t="s">
        <v>12</v>
      </c>
      <c r="E65" s="9">
        <v>1</v>
      </c>
      <c r="F65" s="11">
        <v>0</v>
      </c>
    </row>
    <row r="66" spans="1:6" ht="12" customHeight="1" x14ac:dyDescent="0.2">
      <c r="A66" s="11">
        <v>146</v>
      </c>
      <c r="B66" s="1" t="s">
        <v>101</v>
      </c>
      <c r="C66" s="7" t="s">
        <v>102</v>
      </c>
      <c r="D66" s="7" t="s">
        <v>87</v>
      </c>
      <c r="E66" s="9">
        <v>1</v>
      </c>
      <c r="F66" s="11">
        <v>1</v>
      </c>
    </row>
    <row r="67" spans="1:6" ht="12" customHeight="1" x14ac:dyDescent="0.2">
      <c r="A67" s="11">
        <v>147</v>
      </c>
      <c r="B67" s="1" t="s">
        <v>103</v>
      </c>
      <c r="C67" s="7" t="s">
        <v>104</v>
      </c>
      <c r="D67" s="7" t="s">
        <v>12</v>
      </c>
      <c r="E67" s="9">
        <v>1</v>
      </c>
      <c r="F67" s="11">
        <v>1</v>
      </c>
    </row>
    <row r="68" spans="1:6" ht="12" customHeight="1" x14ac:dyDescent="0.2">
      <c r="A68" s="11">
        <v>150</v>
      </c>
      <c r="B68" s="1" t="s">
        <v>105</v>
      </c>
      <c r="C68" s="7" t="s">
        <v>106</v>
      </c>
      <c r="D68" s="7" t="s">
        <v>12</v>
      </c>
      <c r="E68" s="9">
        <v>1</v>
      </c>
      <c r="F68" s="11">
        <v>1</v>
      </c>
    </row>
    <row r="69" spans="1:6" ht="13.5" customHeight="1" x14ac:dyDescent="0.2">
      <c r="A69" s="11">
        <v>208</v>
      </c>
      <c r="B69" s="1" t="s">
        <v>107</v>
      </c>
      <c r="C69" s="7" t="s">
        <v>108</v>
      </c>
      <c r="D69" s="8"/>
      <c r="E69" s="9">
        <v>0</v>
      </c>
      <c r="F69" s="11">
        <v>0</v>
      </c>
    </row>
    <row r="70" spans="1:6" ht="12" customHeight="1" x14ac:dyDescent="0.2">
      <c r="A70" s="30" t="s">
        <v>13</v>
      </c>
      <c r="B70" s="31"/>
      <c r="C70" s="31"/>
      <c r="D70" s="31"/>
      <c r="E70" s="31"/>
      <c r="F70" s="33">
        <f>SUM(F46:F69)</f>
        <v>13</v>
      </c>
    </row>
    <row r="71" spans="1:6" ht="12" customHeight="1" x14ac:dyDescent="0.2">
      <c r="A71" s="2" t="s">
        <v>109</v>
      </c>
      <c r="B71" s="8"/>
      <c r="C71" s="26"/>
      <c r="D71" s="26"/>
      <c r="E71" s="26"/>
      <c r="F71" s="26"/>
    </row>
    <row r="72" spans="1:6" ht="13.5" customHeight="1" x14ac:dyDescent="0.2">
      <c r="A72" s="16" t="s">
        <v>110</v>
      </c>
      <c r="B72" s="1" t="s">
        <v>111</v>
      </c>
      <c r="C72" s="15" t="s">
        <v>112</v>
      </c>
      <c r="D72" s="15"/>
      <c r="E72" s="9">
        <v>0</v>
      </c>
      <c r="F72" s="11">
        <v>0</v>
      </c>
    </row>
    <row r="73" spans="1:6" ht="13.5" customHeight="1" x14ac:dyDescent="0.2">
      <c r="A73" s="16" t="s">
        <v>113</v>
      </c>
      <c r="B73" s="1" t="s">
        <v>114</v>
      </c>
      <c r="C73" s="15" t="s">
        <v>115</v>
      </c>
      <c r="D73" s="15"/>
      <c r="E73" s="9">
        <v>0</v>
      </c>
      <c r="F73" s="11">
        <v>0</v>
      </c>
    </row>
    <row r="74" spans="1:6" ht="12" customHeight="1" x14ac:dyDescent="0.2">
      <c r="A74" s="30" t="s">
        <v>13</v>
      </c>
      <c r="B74" s="31"/>
      <c r="C74" s="34"/>
      <c r="D74" s="34"/>
      <c r="E74" s="34"/>
      <c r="F74" s="33">
        <f>SUM(F72:F73)</f>
        <v>0</v>
      </c>
    </row>
    <row r="75" spans="1:6" ht="12" customHeight="1" x14ac:dyDescent="0.2">
      <c r="A75" s="27"/>
      <c r="B75" s="27"/>
      <c r="C75" s="27"/>
      <c r="D75" s="27"/>
      <c r="E75" s="27"/>
    </row>
    <row r="76" spans="1:6" ht="13.5" customHeight="1" x14ac:dyDescent="0.2">
      <c r="A76" s="27"/>
      <c r="B76" s="27"/>
      <c r="C76" s="27"/>
      <c r="D76" s="27"/>
      <c r="E76" s="27"/>
    </row>
    <row r="77" spans="1:6" ht="12" customHeight="1" x14ac:dyDescent="0.2">
      <c r="A77" s="26"/>
      <c r="B77" s="26"/>
      <c r="C77" s="26"/>
      <c r="D77" s="26"/>
      <c r="E77" s="26"/>
      <c r="F77" s="18"/>
    </row>
    <row r="78" spans="1:6" ht="12" customHeight="1" x14ac:dyDescent="0.2">
      <c r="A78" s="25" t="s">
        <v>116</v>
      </c>
      <c r="B78" s="25"/>
      <c r="C78" s="25"/>
      <c r="D78" s="25"/>
      <c r="E78" s="25"/>
      <c r="F78" s="25"/>
    </row>
    <row r="79" spans="1:6" ht="13.5" customHeight="1" x14ac:dyDescent="0.2">
      <c r="A79" s="12">
        <v>157.1</v>
      </c>
      <c r="B79" s="1" t="s">
        <v>117</v>
      </c>
      <c r="C79" s="7" t="s">
        <v>118</v>
      </c>
      <c r="D79" s="7" t="s">
        <v>12</v>
      </c>
      <c r="E79" s="9">
        <v>0</v>
      </c>
      <c r="F79" s="11">
        <v>7</v>
      </c>
    </row>
    <row r="80" spans="1:6" ht="12" customHeight="1" x14ac:dyDescent="0.2">
      <c r="A80" s="11">
        <v>158</v>
      </c>
      <c r="B80" s="1" t="s">
        <v>119</v>
      </c>
      <c r="C80" s="7" t="s">
        <v>120</v>
      </c>
      <c r="D80" s="7" t="s">
        <v>12</v>
      </c>
      <c r="E80" s="9">
        <v>0</v>
      </c>
      <c r="F80" s="11">
        <v>3</v>
      </c>
    </row>
    <row r="81" spans="1:6" ht="12" customHeight="1" x14ac:dyDescent="0.2">
      <c r="A81" s="12">
        <v>159.1</v>
      </c>
      <c r="B81" s="1" t="s">
        <v>121</v>
      </c>
      <c r="C81" s="7" t="s">
        <v>122</v>
      </c>
      <c r="D81" s="7" t="s">
        <v>12</v>
      </c>
      <c r="E81" s="9">
        <v>0</v>
      </c>
      <c r="F81" s="11">
        <v>1</v>
      </c>
    </row>
    <row r="82" spans="1:6" ht="12" customHeight="1" x14ac:dyDescent="0.2">
      <c r="A82" s="11">
        <v>160</v>
      </c>
      <c r="B82" s="1" t="s">
        <v>123</v>
      </c>
      <c r="C82" s="7" t="s">
        <v>124</v>
      </c>
      <c r="D82" s="7" t="s">
        <v>12</v>
      </c>
      <c r="E82" s="9">
        <v>0</v>
      </c>
      <c r="F82" s="11">
        <v>0</v>
      </c>
    </row>
    <row r="83" spans="1:6" ht="12" customHeight="1" x14ac:dyDescent="0.2">
      <c r="A83" s="30" t="s">
        <v>13</v>
      </c>
      <c r="B83" s="31"/>
      <c r="C83" s="31"/>
      <c r="D83" s="31"/>
      <c r="E83" s="31"/>
      <c r="F83" s="33">
        <f>SUM(F79:F82)</f>
        <v>11</v>
      </c>
    </row>
    <row r="84" spans="1:6" ht="23.65" customHeight="1" x14ac:dyDescent="0.2">
      <c r="A84" s="13"/>
      <c r="B84" s="13"/>
      <c r="C84" s="13"/>
      <c r="D84" s="13"/>
      <c r="E84" s="13"/>
      <c r="F84" s="21"/>
    </row>
    <row r="85" spans="1:6" ht="12" customHeight="1" x14ac:dyDescent="0.2">
      <c r="A85" s="25" t="s">
        <v>125</v>
      </c>
      <c r="B85" s="25"/>
      <c r="C85" s="25"/>
      <c r="D85" s="25"/>
      <c r="E85" s="25"/>
      <c r="F85" s="25"/>
    </row>
    <row r="86" spans="1:6" ht="13.9" customHeight="1" x14ac:dyDescent="0.2">
      <c r="A86" s="11">
        <v>44</v>
      </c>
      <c r="B86" s="1" t="s">
        <v>126</v>
      </c>
      <c r="C86" s="7" t="s">
        <v>127</v>
      </c>
      <c r="D86" s="8"/>
      <c r="E86" s="9">
        <v>1</v>
      </c>
      <c r="F86" s="11">
        <v>1</v>
      </c>
    </row>
    <row r="87" spans="1:6" ht="12" customHeight="1" x14ac:dyDescent="0.2">
      <c r="A87" s="12">
        <v>44.1</v>
      </c>
      <c r="B87" s="1" t="s">
        <v>128</v>
      </c>
      <c r="C87" s="7" t="s">
        <v>129</v>
      </c>
      <c r="D87" s="7" t="s">
        <v>87</v>
      </c>
      <c r="E87" s="9">
        <v>2</v>
      </c>
      <c r="F87" s="11">
        <v>4</v>
      </c>
    </row>
    <row r="88" spans="1:6" ht="12" customHeight="1" x14ac:dyDescent="0.2">
      <c r="A88" s="11">
        <v>45</v>
      </c>
      <c r="B88" s="1" t="s">
        <v>130</v>
      </c>
      <c r="C88" s="7" t="s">
        <v>131</v>
      </c>
      <c r="D88" s="7" t="s">
        <v>87</v>
      </c>
      <c r="E88" s="9">
        <v>2</v>
      </c>
      <c r="F88" s="11">
        <v>2</v>
      </c>
    </row>
    <row r="89" spans="1:6" ht="12" customHeight="1" x14ac:dyDescent="0.2">
      <c r="A89" s="12">
        <v>45.1</v>
      </c>
      <c r="B89" s="1" t="s">
        <v>132</v>
      </c>
      <c r="C89" s="7" t="s">
        <v>133</v>
      </c>
      <c r="D89" s="8"/>
      <c r="E89" s="9">
        <v>1</v>
      </c>
      <c r="F89" s="11">
        <v>1</v>
      </c>
    </row>
    <row r="90" spans="1:6" ht="12" customHeight="1" x14ac:dyDescent="0.2">
      <c r="A90" s="11">
        <v>46</v>
      </c>
      <c r="B90" s="1" t="s">
        <v>134</v>
      </c>
      <c r="C90" s="7" t="s">
        <v>135</v>
      </c>
      <c r="D90" s="7" t="s">
        <v>87</v>
      </c>
      <c r="E90" s="9">
        <v>15</v>
      </c>
      <c r="F90" s="11">
        <v>10</v>
      </c>
    </row>
    <row r="91" spans="1:6" ht="12" customHeight="1" x14ac:dyDescent="0.2">
      <c r="A91" s="11">
        <v>47</v>
      </c>
      <c r="B91" s="6">
        <v>716964</v>
      </c>
      <c r="C91" s="7" t="s">
        <v>136</v>
      </c>
      <c r="D91" s="7" t="s">
        <v>87</v>
      </c>
      <c r="E91" s="9">
        <v>3</v>
      </c>
      <c r="F91" s="11">
        <v>3</v>
      </c>
    </row>
    <row r="92" spans="1:6" ht="12" customHeight="1" x14ac:dyDescent="0.2">
      <c r="A92" s="12">
        <v>47.1</v>
      </c>
      <c r="B92" s="1" t="s">
        <v>137</v>
      </c>
      <c r="C92" s="7" t="s">
        <v>138</v>
      </c>
      <c r="D92" s="7" t="s">
        <v>87</v>
      </c>
      <c r="E92" s="9">
        <v>6</v>
      </c>
      <c r="F92" s="11">
        <v>6</v>
      </c>
    </row>
    <row r="93" spans="1:6" ht="12" customHeight="1" x14ac:dyDescent="0.2">
      <c r="A93" s="11">
        <v>48</v>
      </c>
      <c r="B93" s="1" t="s">
        <v>139</v>
      </c>
      <c r="C93" s="7" t="s">
        <v>140</v>
      </c>
      <c r="D93" s="7" t="s">
        <v>12</v>
      </c>
      <c r="E93" s="9">
        <v>2</v>
      </c>
      <c r="F93" s="11">
        <v>1</v>
      </c>
    </row>
    <row r="94" spans="1:6" ht="12" customHeight="1" x14ac:dyDescent="0.2">
      <c r="A94" s="11">
        <v>49</v>
      </c>
      <c r="B94" s="1" t="s">
        <v>141</v>
      </c>
      <c r="C94" s="7" t="s">
        <v>142</v>
      </c>
      <c r="D94" s="7" t="s">
        <v>12</v>
      </c>
      <c r="E94" s="9">
        <v>3</v>
      </c>
      <c r="F94" s="11">
        <v>3</v>
      </c>
    </row>
    <row r="95" spans="1:6" ht="12" customHeight="1" x14ac:dyDescent="0.2">
      <c r="A95" s="12">
        <v>49.1</v>
      </c>
      <c r="B95" s="1" t="s">
        <v>143</v>
      </c>
      <c r="C95" s="7" t="s">
        <v>144</v>
      </c>
      <c r="D95" s="7" t="s">
        <v>12</v>
      </c>
      <c r="E95" s="9">
        <v>3</v>
      </c>
      <c r="F95" s="11">
        <v>3</v>
      </c>
    </row>
    <row r="96" spans="1:6" ht="12" customHeight="1" x14ac:dyDescent="0.2">
      <c r="A96" s="12">
        <v>49.2</v>
      </c>
      <c r="B96" s="1" t="s">
        <v>145</v>
      </c>
      <c r="C96" s="7" t="s">
        <v>146</v>
      </c>
      <c r="D96" s="7" t="s">
        <v>12</v>
      </c>
      <c r="E96" s="9">
        <v>3</v>
      </c>
      <c r="F96" s="11">
        <v>3</v>
      </c>
    </row>
    <row r="97" spans="1:6" ht="12" customHeight="1" x14ac:dyDescent="0.2">
      <c r="A97" s="12">
        <v>49.3</v>
      </c>
      <c r="B97" s="1" t="s">
        <v>147</v>
      </c>
      <c r="C97" s="7" t="s">
        <v>148</v>
      </c>
      <c r="D97" s="7" t="s">
        <v>12</v>
      </c>
      <c r="E97" s="9">
        <v>3</v>
      </c>
      <c r="F97" s="11">
        <v>4</v>
      </c>
    </row>
    <row r="98" spans="1:6" ht="12" customHeight="1" x14ac:dyDescent="0.2">
      <c r="A98" s="11">
        <v>50</v>
      </c>
      <c r="B98" s="1" t="s">
        <v>149</v>
      </c>
      <c r="C98" s="7" t="s">
        <v>150</v>
      </c>
      <c r="D98" s="7" t="s">
        <v>12</v>
      </c>
      <c r="E98" s="9">
        <v>3</v>
      </c>
      <c r="F98" s="11">
        <v>5</v>
      </c>
    </row>
    <row r="99" spans="1:6" ht="12" customHeight="1" x14ac:dyDescent="0.2">
      <c r="A99" s="11">
        <v>51</v>
      </c>
      <c r="B99" s="1" t="s">
        <v>151</v>
      </c>
      <c r="C99" s="7" t="s">
        <v>152</v>
      </c>
      <c r="D99" s="7" t="s">
        <v>12</v>
      </c>
      <c r="E99" s="9">
        <v>24</v>
      </c>
      <c r="F99" s="11">
        <v>25</v>
      </c>
    </row>
    <row r="100" spans="1:6" ht="12" customHeight="1" x14ac:dyDescent="0.2">
      <c r="A100" s="12">
        <v>51.1</v>
      </c>
      <c r="B100" s="1" t="s">
        <v>153</v>
      </c>
      <c r="C100" s="7" t="s">
        <v>153</v>
      </c>
      <c r="D100" s="7" t="s">
        <v>12</v>
      </c>
      <c r="E100" s="9">
        <v>0</v>
      </c>
      <c r="F100" s="11">
        <v>1</v>
      </c>
    </row>
    <row r="101" spans="1:6" ht="12" customHeight="1" x14ac:dyDescent="0.2">
      <c r="A101" s="11">
        <v>52</v>
      </c>
      <c r="B101" s="1" t="s">
        <v>154</v>
      </c>
      <c r="C101" s="7" t="s">
        <v>155</v>
      </c>
      <c r="D101" s="7" t="s">
        <v>12</v>
      </c>
      <c r="E101" s="9">
        <v>30</v>
      </c>
      <c r="F101" s="11">
        <v>30</v>
      </c>
    </row>
    <row r="102" spans="1:6" ht="12" customHeight="1" x14ac:dyDescent="0.2">
      <c r="A102" s="11">
        <v>53</v>
      </c>
      <c r="B102" s="1" t="s">
        <v>156</v>
      </c>
      <c r="C102" s="7" t="s">
        <v>157</v>
      </c>
      <c r="D102" s="7" t="s">
        <v>87</v>
      </c>
      <c r="E102" s="9">
        <v>2</v>
      </c>
      <c r="F102" s="11">
        <v>2</v>
      </c>
    </row>
    <row r="103" spans="1:6" ht="12" customHeight="1" x14ac:dyDescent="0.2">
      <c r="A103" s="11">
        <v>55</v>
      </c>
      <c r="B103" s="1" t="s">
        <v>158</v>
      </c>
      <c r="C103" s="7" t="s">
        <v>159</v>
      </c>
      <c r="D103" s="7" t="s">
        <v>87</v>
      </c>
      <c r="E103" s="9">
        <v>2</v>
      </c>
      <c r="F103" s="11">
        <v>1</v>
      </c>
    </row>
    <row r="104" spans="1:6" ht="13.15" customHeight="1" x14ac:dyDescent="0.2">
      <c r="A104" s="11">
        <v>280</v>
      </c>
      <c r="B104" s="1" t="s">
        <v>160</v>
      </c>
      <c r="C104" s="7" t="s">
        <v>161</v>
      </c>
      <c r="D104" s="7" t="s">
        <v>12</v>
      </c>
      <c r="E104" s="9">
        <v>4</v>
      </c>
      <c r="F104" s="11">
        <v>0</v>
      </c>
    </row>
    <row r="105" spans="1:6" ht="12" customHeight="1" x14ac:dyDescent="0.2">
      <c r="A105" s="30" t="s">
        <v>13</v>
      </c>
      <c r="B105" s="31"/>
      <c r="C105" s="31"/>
      <c r="D105" s="31"/>
      <c r="E105" s="31"/>
      <c r="F105" s="33">
        <f>SUM(F86:F104)</f>
        <v>105</v>
      </c>
    </row>
    <row r="106" spans="1:6" ht="18.399999999999999" customHeight="1" x14ac:dyDescent="0.2">
      <c r="A106" s="13"/>
      <c r="B106" s="13"/>
      <c r="C106" s="13"/>
      <c r="D106" s="13"/>
      <c r="E106" s="13"/>
      <c r="F106" s="21"/>
    </row>
    <row r="107" spans="1:6" ht="12" customHeight="1" x14ac:dyDescent="0.2">
      <c r="A107" s="25" t="s">
        <v>162</v>
      </c>
      <c r="B107" s="25"/>
      <c r="C107" s="25"/>
      <c r="D107" s="25"/>
      <c r="E107" s="25"/>
      <c r="F107" s="25"/>
    </row>
    <row r="108" spans="1:6" ht="13.9" customHeight="1" x14ac:dyDescent="0.2">
      <c r="A108" s="11">
        <v>151</v>
      </c>
      <c r="B108" s="1" t="s">
        <v>163</v>
      </c>
      <c r="C108" s="7" t="s">
        <v>164</v>
      </c>
      <c r="D108" s="7" t="s">
        <v>87</v>
      </c>
      <c r="E108" s="9">
        <v>1</v>
      </c>
      <c r="F108" s="11">
        <v>1</v>
      </c>
    </row>
    <row r="109" spans="1:6" ht="12" customHeight="1" x14ac:dyDescent="0.2">
      <c r="A109" s="11">
        <v>152</v>
      </c>
      <c r="B109" s="1" t="s">
        <v>165</v>
      </c>
      <c r="C109" s="7" t="s">
        <v>166</v>
      </c>
      <c r="D109" s="7" t="s">
        <v>87</v>
      </c>
      <c r="E109" s="9">
        <v>3</v>
      </c>
      <c r="F109" s="11">
        <v>3</v>
      </c>
    </row>
    <row r="110" spans="1:6" ht="12" customHeight="1" x14ac:dyDescent="0.2">
      <c r="A110" s="11">
        <v>153</v>
      </c>
      <c r="B110" s="1" t="s">
        <v>167</v>
      </c>
      <c r="C110" s="7" t="s">
        <v>168</v>
      </c>
      <c r="D110" s="7" t="s">
        <v>87</v>
      </c>
      <c r="E110" s="9">
        <v>60</v>
      </c>
      <c r="F110" s="11">
        <v>60</v>
      </c>
    </row>
    <row r="111" spans="1:6" ht="12" customHeight="1" x14ac:dyDescent="0.2">
      <c r="A111" s="11">
        <v>154</v>
      </c>
      <c r="B111" s="1" t="s">
        <v>169</v>
      </c>
      <c r="C111" s="7" t="s">
        <v>170</v>
      </c>
      <c r="D111" s="7" t="s">
        <v>87</v>
      </c>
      <c r="E111" s="9">
        <v>6</v>
      </c>
      <c r="F111" s="11">
        <v>6</v>
      </c>
    </row>
    <row r="112" spans="1:6" ht="12" customHeight="1" x14ac:dyDescent="0.2">
      <c r="A112" s="11">
        <v>155</v>
      </c>
      <c r="B112" s="1" t="s">
        <v>171</v>
      </c>
      <c r="C112" s="7" t="s">
        <v>172</v>
      </c>
      <c r="D112" s="7" t="s">
        <v>87</v>
      </c>
      <c r="E112" s="9">
        <v>3</v>
      </c>
      <c r="F112" s="11">
        <v>3</v>
      </c>
    </row>
    <row r="113" spans="1:6" ht="12" customHeight="1" x14ac:dyDescent="0.2">
      <c r="A113" s="11">
        <v>156</v>
      </c>
      <c r="B113" s="1" t="s">
        <v>173</v>
      </c>
      <c r="C113" s="7" t="s">
        <v>174</v>
      </c>
      <c r="D113" s="7" t="s">
        <v>87</v>
      </c>
      <c r="E113" s="9">
        <v>15</v>
      </c>
      <c r="F113" s="11">
        <v>19</v>
      </c>
    </row>
    <row r="114" spans="1:6" ht="12" customHeight="1" x14ac:dyDescent="0.2">
      <c r="A114" s="11">
        <v>189</v>
      </c>
      <c r="B114" s="1" t="s">
        <v>175</v>
      </c>
      <c r="C114" s="7" t="s">
        <v>176</v>
      </c>
      <c r="D114" s="7" t="s">
        <v>12</v>
      </c>
      <c r="E114" s="9">
        <v>0</v>
      </c>
      <c r="F114" s="11">
        <v>0</v>
      </c>
    </row>
    <row r="115" spans="1:6" ht="12" customHeight="1" x14ac:dyDescent="0.2">
      <c r="A115" s="11">
        <v>200</v>
      </c>
      <c r="B115" s="1" t="s">
        <v>177</v>
      </c>
      <c r="C115" s="7" t="s">
        <v>178</v>
      </c>
      <c r="D115" s="7" t="s">
        <v>12</v>
      </c>
      <c r="E115" s="9">
        <v>2</v>
      </c>
      <c r="F115" s="11">
        <v>0</v>
      </c>
    </row>
    <row r="116" spans="1:6" ht="12" customHeight="1" x14ac:dyDescent="0.2">
      <c r="A116" s="11">
        <v>201</v>
      </c>
      <c r="B116" s="1" t="s">
        <v>179</v>
      </c>
      <c r="C116" s="7" t="s">
        <v>180</v>
      </c>
      <c r="D116" s="8"/>
      <c r="E116" s="9">
        <v>0</v>
      </c>
      <c r="F116" s="11">
        <v>10</v>
      </c>
    </row>
    <row r="117" spans="1:6" ht="12" customHeight="1" x14ac:dyDescent="0.2">
      <c r="A117" s="11">
        <v>202</v>
      </c>
      <c r="B117" s="1" t="s">
        <v>181</v>
      </c>
      <c r="C117" s="7" t="s">
        <v>182</v>
      </c>
      <c r="D117" s="8"/>
      <c r="E117" s="9">
        <v>0</v>
      </c>
      <c r="F117" s="11">
        <v>10</v>
      </c>
    </row>
    <row r="118" spans="1:6" ht="12" customHeight="1" x14ac:dyDescent="0.2">
      <c r="A118" s="11">
        <v>203</v>
      </c>
      <c r="B118" s="1" t="s">
        <v>183</v>
      </c>
      <c r="C118" s="7" t="s">
        <v>184</v>
      </c>
      <c r="D118" s="8"/>
      <c r="E118" s="9">
        <v>0</v>
      </c>
      <c r="F118" s="11">
        <v>5</v>
      </c>
    </row>
    <row r="119" spans="1:6" ht="12" customHeight="1" x14ac:dyDescent="0.2">
      <c r="A119" s="11">
        <v>204</v>
      </c>
      <c r="B119" s="1" t="s">
        <v>185</v>
      </c>
      <c r="C119" s="7" t="s">
        <v>186</v>
      </c>
      <c r="D119" s="8"/>
      <c r="E119" s="9">
        <v>0</v>
      </c>
      <c r="F119" s="11">
        <v>1</v>
      </c>
    </row>
    <row r="120" spans="1:6" ht="12" customHeight="1" x14ac:dyDescent="0.2">
      <c r="A120" s="11">
        <v>205</v>
      </c>
      <c r="B120" s="1" t="s">
        <v>187</v>
      </c>
      <c r="C120" s="7" t="s">
        <v>188</v>
      </c>
      <c r="D120" s="8"/>
      <c r="E120" s="9">
        <v>0</v>
      </c>
      <c r="F120" s="11">
        <v>0</v>
      </c>
    </row>
    <row r="121" spans="1:6" ht="12" customHeight="1" x14ac:dyDescent="0.2">
      <c r="A121" s="11">
        <v>206</v>
      </c>
      <c r="B121" s="1" t="s">
        <v>189</v>
      </c>
      <c r="C121" s="7" t="s">
        <v>190</v>
      </c>
      <c r="D121" s="8"/>
      <c r="E121" s="9">
        <v>0</v>
      </c>
      <c r="F121" s="11">
        <v>0</v>
      </c>
    </row>
    <row r="122" spans="1:6" ht="13.9" customHeight="1" x14ac:dyDescent="0.2">
      <c r="A122" s="11">
        <v>207</v>
      </c>
      <c r="B122" s="1" t="s">
        <v>191</v>
      </c>
      <c r="C122" s="7" t="s">
        <v>192</v>
      </c>
      <c r="D122" s="8"/>
      <c r="E122" s="9">
        <v>0</v>
      </c>
      <c r="F122" s="11">
        <v>0</v>
      </c>
    </row>
    <row r="123" spans="1:6" ht="12" customHeight="1" x14ac:dyDescent="0.2">
      <c r="A123" s="30" t="s">
        <v>13</v>
      </c>
      <c r="B123" s="31"/>
      <c r="C123" s="31"/>
      <c r="D123" s="31"/>
      <c r="E123" s="31"/>
      <c r="F123" s="33">
        <f>SUM(F108:F122)</f>
        <v>118</v>
      </c>
    </row>
    <row r="124" spans="1:6" ht="23.65" customHeight="1" x14ac:dyDescent="0.2">
      <c r="A124" s="13"/>
      <c r="B124" s="13"/>
      <c r="C124" s="13"/>
      <c r="D124" s="13"/>
      <c r="E124" s="13"/>
      <c r="F124" s="21"/>
    </row>
    <row r="125" spans="1:6" ht="12" customHeight="1" x14ac:dyDescent="0.2">
      <c r="A125" s="25" t="s">
        <v>193</v>
      </c>
      <c r="B125" s="25"/>
      <c r="C125" s="25"/>
      <c r="D125" s="25"/>
      <c r="E125" s="25"/>
      <c r="F125" s="25"/>
    </row>
    <row r="126" spans="1:6" ht="12" customHeight="1" x14ac:dyDescent="0.2">
      <c r="A126" s="11">
        <v>136</v>
      </c>
      <c r="B126" s="1" t="s">
        <v>194</v>
      </c>
      <c r="C126" s="7" t="s">
        <v>195</v>
      </c>
      <c r="D126" s="7" t="s">
        <v>87</v>
      </c>
      <c r="E126" s="9">
        <v>1</v>
      </c>
      <c r="F126" s="11">
        <v>3</v>
      </c>
    </row>
    <row r="127" spans="1:6" ht="12" customHeight="1" x14ac:dyDescent="0.2">
      <c r="A127" s="12">
        <v>141.1</v>
      </c>
      <c r="B127" s="1" t="s">
        <v>196</v>
      </c>
      <c r="C127" s="7" t="s">
        <v>197</v>
      </c>
      <c r="D127" s="7" t="s">
        <v>12</v>
      </c>
      <c r="E127" s="9">
        <v>2</v>
      </c>
      <c r="F127" s="11">
        <v>2</v>
      </c>
    </row>
    <row r="128" spans="1:6" ht="12" customHeight="1" x14ac:dyDescent="0.2">
      <c r="A128" s="11">
        <v>142</v>
      </c>
      <c r="B128" s="1" t="s">
        <v>198</v>
      </c>
      <c r="C128" s="7" t="s">
        <v>199</v>
      </c>
      <c r="D128" s="7" t="s">
        <v>12</v>
      </c>
      <c r="E128" s="9">
        <v>20</v>
      </c>
      <c r="F128" s="11">
        <v>1</v>
      </c>
    </row>
    <row r="129" spans="1:6" ht="12" customHeight="1" x14ac:dyDescent="0.2">
      <c r="A129" s="11">
        <v>148</v>
      </c>
      <c r="B129" s="1" t="s">
        <v>200</v>
      </c>
      <c r="C129" s="7" t="s">
        <v>201</v>
      </c>
      <c r="D129" s="7" t="s">
        <v>12</v>
      </c>
      <c r="E129" s="9">
        <v>1</v>
      </c>
      <c r="F129" s="11">
        <v>0</v>
      </c>
    </row>
    <row r="130" spans="1:6" ht="13.15" customHeight="1" x14ac:dyDescent="0.2">
      <c r="A130" s="11">
        <v>149</v>
      </c>
      <c r="B130" s="1" t="s">
        <v>202</v>
      </c>
      <c r="C130" s="7" t="s">
        <v>203</v>
      </c>
      <c r="D130" s="7" t="s">
        <v>12</v>
      </c>
      <c r="E130" s="9">
        <v>2</v>
      </c>
      <c r="F130" s="11">
        <v>0</v>
      </c>
    </row>
    <row r="131" spans="1:6" ht="12" customHeight="1" x14ac:dyDescent="0.2">
      <c r="A131" s="30" t="s">
        <v>13</v>
      </c>
      <c r="B131" s="31"/>
      <c r="C131" s="31"/>
      <c r="D131" s="31"/>
      <c r="E131" s="31"/>
      <c r="F131" s="33">
        <f>SUM(F126:F130)</f>
        <v>6</v>
      </c>
    </row>
    <row r="132" spans="1:6" ht="23.65" customHeight="1" x14ac:dyDescent="0.2">
      <c r="A132" s="13"/>
      <c r="B132" s="13"/>
      <c r="C132" s="13"/>
      <c r="D132" s="13"/>
      <c r="E132" s="13"/>
      <c r="F132" s="21"/>
    </row>
    <row r="133" spans="1:6" ht="12" customHeight="1" x14ac:dyDescent="0.2">
      <c r="A133" s="2" t="s">
        <v>204</v>
      </c>
      <c r="B133" s="8"/>
      <c r="C133" s="8"/>
      <c r="D133" s="8"/>
      <c r="E133" s="8"/>
      <c r="F133" s="18"/>
    </row>
    <row r="134" spans="1:6" ht="13.9" customHeight="1" x14ac:dyDescent="0.2">
      <c r="A134" s="12">
        <v>1.1000000000000001</v>
      </c>
      <c r="B134" s="1" t="s">
        <v>205</v>
      </c>
      <c r="C134" s="7" t="s">
        <v>206</v>
      </c>
      <c r="D134" s="7" t="s">
        <v>87</v>
      </c>
      <c r="E134" s="9">
        <v>0</v>
      </c>
      <c r="F134" s="11">
        <v>162</v>
      </c>
    </row>
    <row r="135" spans="1:6" ht="12" customHeight="1" x14ac:dyDescent="0.2">
      <c r="A135" s="12">
        <v>1.2</v>
      </c>
      <c r="B135" s="1" t="s">
        <v>207</v>
      </c>
      <c r="C135" s="7" t="s">
        <v>208</v>
      </c>
      <c r="D135" s="7" t="s">
        <v>87</v>
      </c>
      <c r="E135" s="9">
        <v>893</v>
      </c>
      <c r="F135" s="11">
        <v>83</v>
      </c>
    </row>
    <row r="136" spans="1:6" ht="13.15" customHeight="1" x14ac:dyDescent="0.2">
      <c r="A136" s="12">
        <v>1.3</v>
      </c>
      <c r="B136" s="1" t="s">
        <v>209</v>
      </c>
      <c r="C136" s="7" t="s">
        <v>210</v>
      </c>
      <c r="D136" s="8"/>
      <c r="E136" s="9">
        <v>326</v>
      </c>
      <c r="F136" s="11">
        <v>0</v>
      </c>
    </row>
    <row r="137" spans="1:6" ht="12" customHeight="1" x14ac:dyDescent="0.2">
      <c r="A137" s="30" t="s">
        <v>13</v>
      </c>
      <c r="B137" s="31"/>
      <c r="C137" s="31"/>
      <c r="D137" s="31"/>
      <c r="E137" s="31"/>
      <c r="F137" s="33">
        <f>SUM(F134:F136)</f>
        <v>245</v>
      </c>
    </row>
    <row r="138" spans="1:6" ht="18.399999999999999" customHeight="1" x14ac:dyDescent="0.2">
      <c r="A138" s="13"/>
      <c r="B138" s="13"/>
      <c r="C138" s="13"/>
      <c r="D138" s="13"/>
      <c r="E138" s="13"/>
      <c r="F138" s="21"/>
    </row>
    <row r="139" spans="1:6" ht="12" customHeight="1" x14ac:dyDescent="0.2">
      <c r="A139" s="25" t="s">
        <v>211</v>
      </c>
      <c r="B139" s="25"/>
      <c r="C139" s="25"/>
      <c r="D139" s="25"/>
      <c r="E139" s="25"/>
      <c r="F139" s="25"/>
    </row>
    <row r="140" spans="1:6" ht="13.9" customHeight="1" x14ac:dyDescent="0.2">
      <c r="A140" s="11">
        <v>13</v>
      </c>
      <c r="B140" s="1" t="s">
        <v>212</v>
      </c>
      <c r="C140" s="7" t="s">
        <v>213</v>
      </c>
      <c r="D140" s="7" t="s">
        <v>87</v>
      </c>
      <c r="E140" s="9">
        <v>10</v>
      </c>
      <c r="F140" s="11">
        <v>0</v>
      </c>
    </row>
    <row r="141" spans="1:6" ht="12" customHeight="1" x14ac:dyDescent="0.2">
      <c r="A141" s="12">
        <v>13.1</v>
      </c>
      <c r="B141" s="1" t="s">
        <v>214</v>
      </c>
      <c r="C141" s="7" t="s">
        <v>215</v>
      </c>
      <c r="D141" s="8"/>
      <c r="E141" s="9">
        <v>0</v>
      </c>
      <c r="F141" s="11">
        <v>0</v>
      </c>
    </row>
    <row r="142" spans="1:6" ht="12" customHeight="1" x14ac:dyDescent="0.2">
      <c r="A142" s="12">
        <v>13.2</v>
      </c>
      <c r="B142" s="1" t="s">
        <v>216</v>
      </c>
      <c r="C142" s="7" t="s">
        <v>217</v>
      </c>
      <c r="D142" s="8"/>
      <c r="E142" s="9">
        <v>0</v>
      </c>
      <c r="F142" s="11">
        <v>0</v>
      </c>
    </row>
    <row r="143" spans="1:6" ht="12" customHeight="1" x14ac:dyDescent="0.2">
      <c r="A143" s="11">
        <v>14</v>
      </c>
      <c r="B143" s="1" t="s">
        <v>218</v>
      </c>
      <c r="C143" s="7" t="s">
        <v>219</v>
      </c>
      <c r="D143" s="7" t="s">
        <v>87</v>
      </c>
      <c r="E143" s="9">
        <v>3</v>
      </c>
      <c r="F143" s="11">
        <v>0</v>
      </c>
    </row>
    <row r="144" spans="1:6" ht="12" customHeight="1" x14ac:dyDescent="0.2">
      <c r="A144" s="12">
        <v>14.1</v>
      </c>
      <c r="B144" s="1" t="s">
        <v>220</v>
      </c>
      <c r="C144" s="7" t="s">
        <v>221</v>
      </c>
      <c r="D144" s="7" t="s">
        <v>87</v>
      </c>
      <c r="E144" s="9">
        <v>3</v>
      </c>
      <c r="F144" s="11">
        <v>1</v>
      </c>
    </row>
    <row r="145" spans="1:6" ht="12" customHeight="1" x14ac:dyDescent="0.2">
      <c r="A145" s="11">
        <v>15</v>
      </c>
      <c r="B145" s="6">
        <v>10005019</v>
      </c>
      <c r="C145" s="7" t="s">
        <v>222</v>
      </c>
      <c r="D145" s="7" t="s">
        <v>12</v>
      </c>
      <c r="E145" s="9">
        <v>20</v>
      </c>
      <c r="F145" s="11">
        <v>21</v>
      </c>
    </row>
    <row r="146" spans="1:6" ht="12" customHeight="1" x14ac:dyDescent="0.2">
      <c r="A146" s="12">
        <v>15.1</v>
      </c>
      <c r="B146" s="1" t="s">
        <v>223</v>
      </c>
      <c r="C146" s="7" t="s">
        <v>224</v>
      </c>
      <c r="D146" s="7" t="s">
        <v>87</v>
      </c>
      <c r="E146" s="9">
        <v>20</v>
      </c>
      <c r="F146" s="11">
        <v>19</v>
      </c>
    </row>
    <row r="147" spans="1:6" ht="12" customHeight="1" x14ac:dyDescent="0.2">
      <c r="A147" s="12">
        <v>15.2</v>
      </c>
      <c r="B147" s="1" t="s">
        <v>225</v>
      </c>
      <c r="C147" s="7" t="s">
        <v>226</v>
      </c>
      <c r="D147" s="7" t="s">
        <v>87</v>
      </c>
      <c r="E147" s="9">
        <v>1</v>
      </c>
      <c r="F147" s="11">
        <v>1</v>
      </c>
    </row>
    <row r="148" spans="1:6" ht="12" customHeight="1" x14ac:dyDescent="0.2">
      <c r="A148" s="12">
        <v>15.3</v>
      </c>
      <c r="B148" s="6">
        <v>68969972</v>
      </c>
      <c r="C148" s="7" t="s">
        <v>227</v>
      </c>
      <c r="D148" s="7" t="s">
        <v>87</v>
      </c>
      <c r="E148" s="9">
        <v>2</v>
      </c>
      <c r="F148" s="11">
        <v>4</v>
      </c>
    </row>
    <row r="149" spans="1:6" ht="12" customHeight="1" x14ac:dyDescent="0.2">
      <c r="A149" s="12">
        <v>15.4</v>
      </c>
      <c r="B149" s="1" t="s">
        <v>228</v>
      </c>
      <c r="C149" s="7" t="s">
        <v>229</v>
      </c>
      <c r="D149" s="7" t="s">
        <v>87</v>
      </c>
      <c r="E149" s="9">
        <v>2</v>
      </c>
      <c r="F149" s="11">
        <v>2</v>
      </c>
    </row>
    <row r="150" spans="1:6" ht="12" customHeight="1" x14ac:dyDescent="0.2">
      <c r="A150" s="11">
        <v>16</v>
      </c>
      <c r="B150" s="6">
        <v>64803689</v>
      </c>
      <c r="C150" s="7" t="s">
        <v>230</v>
      </c>
      <c r="D150" s="7" t="s">
        <v>12</v>
      </c>
      <c r="E150" s="9">
        <v>8</v>
      </c>
      <c r="F150" s="11">
        <v>6</v>
      </c>
    </row>
    <row r="151" spans="1:6" ht="12" customHeight="1" x14ac:dyDescent="0.2">
      <c r="A151" s="11">
        <v>18</v>
      </c>
      <c r="B151" s="6">
        <v>64606778</v>
      </c>
      <c r="C151" s="7" t="s">
        <v>231</v>
      </c>
      <c r="D151" s="7" t="s">
        <v>87</v>
      </c>
      <c r="E151" s="9">
        <v>3</v>
      </c>
      <c r="F151" s="11">
        <v>4</v>
      </c>
    </row>
    <row r="152" spans="1:6" ht="12" customHeight="1" x14ac:dyDescent="0.2">
      <c r="A152" s="11">
        <v>19</v>
      </c>
      <c r="B152" s="1" t="s">
        <v>232</v>
      </c>
      <c r="C152" s="7" t="s">
        <v>233</v>
      </c>
      <c r="D152" s="7" t="s">
        <v>87</v>
      </c>
      <c r="E152" s="9">
        <v>2</v>
      </c>
      <c r="F152" s="11">
        <v>4</v>
      </c>
    </row>
    <row r="153" spans="1:6" ht="12" customHeight="1" x14ac:dyDescent="0.2">
      <c r="A153" s="11">
        <v>20</v>
      </c>
      <c r="B153" s="6">
        <v>64606948</v>
      </c>
      <c r="C153" s="7" t="s">
        <v>234</v>
      </c>
      <c r="D153" s="7" t="s">
        <v>87</v>
      </c>
      <c r="E153" s="9">
        <v>2</v>
      </c>
      <c r="F153" s="11">
        <v>2</v>
      </c>
    </row>
    <row r="154" spans="1:6" ht="12" customHeight="1" x14ac:dyDescent="0.2">
      <c r="A154" s="12">
        <v>20.100000000000001</v>
      </c>
      <c r="B154" s="1" t="s">
        <v>235</v>
      </c>
      <c r="C154" s="7" t="s">
        <v>33</v>
      </c>
      <c r="D154" s="8"/>
      <c r="E154" s="9">
        <v>2</v>
      </c>
      <c r="F154" s="11">
        <v>0</v>
      </c>
    </row>
    <row r="155" spans="1:6" ht="12" customHeight="1" x14ac:dyDescent="0.2">
      <c r="A155" s="11">
        <v>21</v>
      </c>
      <c r="B155" s="1" t="s">
        <v>236</v>
      </c>
      <c r="C155" s="7" t="s">
        <v>237</v>
      </c>
      <c r="D155" s="7" t="s">
        <v>87</v>
      </c>
      <c r="E155" s="9">
        <v>2</v>
      </c>
      <c r="F155" s="11">
        <v>2</v>
      </c>
    </row>
    <row r="156" spans="1:6" ht="12" customHeight="1" x14ac:dyDescent="0.2">
      <c r="A156" s="11">
        <v>22</v>
      </c>
      <c r="B156" s="6">
        <v>64702475</v>
      </c>
      <c r="C156" s="7" t="s">
        <v>238</v>
      </c>
      <c r="D156" s="7" t="s">
        <v>87</v>
      </c>
      <c r="E156" s="9">
        <v>3</v>
      </c>
      <c r="F156" s="11">
        <v>6</v>
      </c>
    </row>
    <row r="157" spans="1:6" ht="12" customHeight="1" x14ac:dyDescent="0.2">
      <c r="A157" s="11">
        <v>23</v>
      </c>
      <c r="B157" s="6">
        <v>64669982</v>
      </c>
      <c r="C157" s="7" t="s">
        <v>239</v>
      </c>
      <c r="D157" s="7" t="s">
        <v>87</v>
      </c>
      <c r="E157" s="9">
        <v>2</v>
      </c>
      <c r="F157" s="11">
        <v>3</v>
      </c>
    </row>
    <row r="158" spans="1:6" ht="12" customHeight="1" x14ac:dyDescent="0.2">
      <c r="A158" s="11">
        <v>24</v>
      </c>
      <c r="B158" s="6">
        <v>68299497</v>
      </c>
      <c r="C158" s="7" t="s">
        <v>240</v>
      </c>
      <c r="D158" s="7" t="s">
        <v>12</v>
      </c>
      <c r="E158" s="9">
        <v>4</v>
      </c>
      <c r="F158" s="11">
        <v>0</v>
      </c>
    </row>
    <row r="159" spans="1:6" ht="12" customHeight="1" x14ac:dyDescent="0.2">
      <c r="A159" s="11">
        <v>25</v>
      </c>
      <c r="B159" s="6">
        <v>68596904</v>
      </c>
      <c r="C159" s="7" t="s">
        <v>241</v>
      </c>
      <c r="D159" s="7" t="s">
        <v>12</v>
      </c>
      <c r="E159" s="9">
        <v>24</v>
      </c>
      <c r="F159" s="11">
        <v>24</v>
      </c>
    </row>
    <row r="160" spans="1:6" ht="12" customHeight="1" x14ac:dyDescent="0.2">
      <c r="A160" s="11">
        <v>26</v>
      </c>
      <c r="B160" s="6">
        <v>373425</v>
      </c>
      <c r="C160" s="7" t="s">
        <v>242</v>
      </c>
      <c r="D160" s="7" t="s">
        <v>12</v>
      </c>
      <c r="E160" s="9">
        <v>4</v>
      </c>
      <c r="F160" s="11">
        <v>1</v>
      </c>
    </row>
    <row r="161" spans="1:6" ht="12" customHeight="1" x14ac:dyDescent="0.2">
      <c r="A161" s="11">
        <v>27</v>
      </c>
      <c r="B161" s="1" t="s">
        <v>243</v>
      </c>
      <c r="C161" s="7" t="s">
        <v>244</v>
      </c>
      <c r="D161" s="8"/>
      <c r="E161" s="9">
        <v>80</v>
      </c>
      <c r="F161" s="11">
        <v>16</v>
      </c>
    </row>
    <row r="162" spans="1:6" ht="12" customHeight="1" x14ac:dyDescent="0.2">
      <c r="A162" s="11">
        <v>28</v>
      </c>
      <c r="B162" s="1" t="s">
        <v>245</v>
      </c>
      <c r="C162" s="7" t="s">
        <v>246</v>
      </c>
      <c r="D162" s="7" t="s">
        <v>12</v>
      </c>
      <c r="E162" s="9">
        <v>96</v>
      </c>
      <c r="F162" s="11">
        <v>93</v>
      </c>
    </row>
    <row r="163" spans="1:6" ht="12" customHeight="1" x14ac:dyDescent="0.2">
      <c r="A163" s="11">
        <v>29</v>
      </c>
      <c r="B163" s="1" t="s">
        <v>247</v>
      </c>
      <c r="C163" s="7" t="s">
        <v>248</v>
      </c>
      <c r="D163" s="7" t="s">
        <v>12</v>
      </c>
      <c r="E163" s="9">
        <v>40</v>
      </c>
      <c r="F163" s="11">
        <v>27</v>
      </c>
    </row>
    <row r="164" spans="1:6" ht="12" customHeight="1" x14ac:dyDescent="0.2">
      <c r="A164" s="11">
        <v>30</v>
      </c>
      <c r="B164" s="6">
        <v>68286671</v>
      </c>
      <c r="C164" s="7" t="s">
        <v>249</v>
      </c>
      <c r="D164" s="7" t="s">
        <v>12</v>
      </c>
      <c r="E164" s="9">
        <v>50</v>
      </c>
      <c r="F164" s="11">
        <v>50</v>
      </c>
    </row>
    <row r="165" spans="1:6" ht="12" customHeight="1" x14ac:dyDescent="0.2">
      <c r="A165" s="11">
        <v>31</v>
      </c>
      <c r="B165" s="6">
        <v>381255</v>
      </c>
      <c r="C165" s="7" t="s">
        <v>250</v>
      </c>
      <c r="D165" s="7" t="s">
        <v>12</v>
      </c>
      <c r="E165" s="9">
        <v>11</v>
      </c>
      <c r="F165" s="11">
        <v>11</v>
      </c>
    </row>
    <row r="166" spans="1:6" ht="12" customHeight="1" x14ac:dyDescent="0.2">
      <c r="A166" s="11">
        <v>32</v>
      </c>
      <c r="B166" s="6">
        <v>382255</v>
      </c>
      <c r="C166" s="7" t="s">
        <v>251</v>
      </c>
      <c r="D166" s="7" t="s">
        <v>12</v>
      </c>
      <c r="E166" s="9">
        <v>6</v>
      </c>
      <c r="F166" s="11">
        <v>3</v>
      </c>
    </row>
    <row r="167" spans="1:6" ht="12" customHeight="1" x14ac:dyDescent="0.2">
      <c r="A167" s="11">
        <v>33</v>
      </c>
      <c r="B167" s="6">
        <v>373250</v>
      </c>
      <c r="C167" s="7" t="s">
        <v>252</v>
      </c>
      <c r="D167" s="7" t="s">
        <v>12</v>
      </c>
      <c r="E167" s="9">
        <v>5</v>
      </c>
      <c r="F167" s="11">
        <v>5</v>
      </c>
    </row>
    <row r="168" spans="1:6" ht="12" customHeight="1" x14ac:dyDescent="0.2">
      <c r="A168" s="11">
        <v>34</v>
      </c>
      <c r="B168" s="1" t="s">
        <v>253</v>
      </c>
      <c r="C168" s="7" t="s">
        <v>254</v>
      </c>
      <c r="D168" s="7" t="s">
        <v>12</v>
      </c>
      <c r="E168" s="9">
        <v>10</v>
      </c>
      <c r="F168" s="11">
        <v>20</v>
      </c>
    </row>
    <row r="169" spans="1:6" ht="12" customHeight="1" x14ac:dyDescent="0.2">
      <c r="A169" s="11">
        <v>35</v>
      </c>
      <c r="B169" s="1" t="s">
        <v>255</v>
      </c>
      <c r="C169" s="7" t="s">
        <v>256</v>
      </c>
      <c r="D169" s="7" t="s">
        <v>12</v>
      </c>
      <c r="E169" s="9">
        <v>10</v>
      </c>
      <c r="F169" s="11">
        <v>10</v>
      </c>
    </row>
    <row r="170" spans="1:6" ht="12" customHeight="1" x14ac:dyDescent="0.2">
      <c r="A170" s="11">
        <v>36</v>
      </c>
      <c r="B170" s="1" t="s">
        <v>257</v>
      </c>
      <c r="C170" s="7" t="s">
        <v>258</v>
      </c>
      <c r="D170" s="7" t="s">
        <v>87</v>
      </c>
      <c r="E170" s="9">
        <v>10</v>
      </c>
      <c r="F170" s="11">
        <v>10</v>
      </c>
    </row>
    <row r="171" spans="1:6" ht="12" customHeight="1" x14ac:dyDescent="0.2">
      <c r="A171" s="11">
        <v>37</v>
      </c>
      <c r="B171" s="1" t="s">
        <v>259</v>
      </c>
      <c r="C171" s="7" t="s">
        <v>260</v>
      </c>
      <c r="D171" s="7" t="s">
        <v>12</v>
      </c>
      <c r="E171" s="9">
        <v>13</v>
      </c>
      <c r="F171" s="11">
        <v>8</v>
      </c>
    </row>
    <row r="172" spans="1:6" ht="12" customHeight="1" x14ac:dyDescent="0.2">
      <c r="A172" s="12">
        <v>37.1</v>
      </c>
      <c r="B172" s="1" t="s">
        <v>261</v>
      </c>
      <c r="C172" s="7" t="s">
        <v>262</v>
      </c>
      <c r="D172" s="7" t="s">
        <v>12</v>
      </c>
      <c r="E172" s="9">
        <v>2</v>
      </c>
      <c r="F172" s="11">
        <v>7</v>
      </c>
    </row>
    <row r="173" spans="1:6" ht="12" customHeight="1" x14ac:dyDescent="0.2">
      <c r="A173" s="12">
        <v>37.200000000000003</v>
      </c>
      <c r="B173" s="1" t="s">
        <v>263</v>
      </c>
      <c r="C173" s="7" t="s">
        <v>264</v>
      </c>
      <c r="D173" s="7" t="s">
        <v>12</v>
      </c>
      <c r="E173" s="9">
        <v>2</v>
      </c>
      <c r="F173" s="11">
        <v>0</v>
      </c>
    </row>
    <row r="174" spans="1:6" ht="12" customHeight="1" x14ac:dyDescent="0.2">
      <c r="A174" s="12">
        <v>37.299999999999997</v>
      </c>
      <c r="B174" s="1" t="s">
        <v>265</v>
      </c>
      <c r="C174" s="7" t="s">
        <v>266</v>
      </c>
      <c r="D174" s="8"/>
      <c r="E174" s="9">
        <v>3</v>
      </c>
      <c r="F174" s="11">
        <v>9</v>
      </c>
    </row>
    <row r="175" spans="1:6" ht="12" customHeight="1" x14ac:dyDescent="0.2">
      <c r="A175" s="12">
        <v>37.4</v>
      </c>
      <c r="B175" s="1" t="s">
        <v>267</v>
      </c>
      <c r="C175" s="7" t="s">
        <v>268</v>
      </c>
      <c r="D175" s="7" t="s">
        <v>12</v>
      </c>
      <c r="E175" s="9">
        <v>10</v>
      </c>
      <c r="F175" s="11">
        <v>10</v>
      </c>
    </row>
    <row r="176" spans="1:6" ht="12" customHeight="1" x14ac:dyDescent="0.2">
      <c r="A176" s="11">
        <v>38</v>
      </c>
      <c r="B176" s="1" t="s">
        <v>269</v>
      </c>
      <c r="C176" s="7" t="s">
        <v>269</v>
      </c>
      <c r="D176" s="7" t="s">
        <v>12</v>
      </c>
      <c r="E176" s="9">
        <v>3</v>
      </c>
      <c r="F176" s="11">
        <v>17</v>
      </c>
    </row>
    <row r="177" spans="1:6" ht="12" customHeight="1" x14ac:dyDescent="0.2">
      <c r="A177" s="11">
        <v>39</v>
      </c>
      <c r="B177" s="6">
        <v>64606816</v>
      </c>
      <c r="C177" s="7" t="s">
        <v>270</v>
      </c>
      <c r="D177" s="7" t="s">
        <v>87</v>
      </c>
      <c r="E177" s="9">
        <v>2</v>
      </c>
      <c r="F177" s="11">
        <v>2</v>
      </c>
    </row>
    <row r="178" spans="1:6" ht="12" customHeight="1" x14ac:dyDescent="0.2">
      <c r="A178" s="12">
        <v>39.1</v>
      </c>
      <c r="B178" s="6">
        <v>64751727</v>
      </c>
      <c r="C178" s="7" t="s">
        <v>271</v>
      </c>
      <c r="D178" s="7" t="s">
        <v>12</v>
      </c>
      <c r="E178" s="9">
        <v>2</v>
      </c>
      <c r="F178" s="11">
        <v>2</v>
      </c>
    </row>
    <row r="179" spans="1:6" ht="12" customHeight="1" x14ac:dyDescent="0.2">
      <c r="A179" s="11">
        <v>40</v>
      </c>
      <c r="B179" s="1" t="s">
        <v>272</v>
      </c>
      <c r="C179" s="7" t="s">
        <v>273</v>
      </c>
      <c r="D179" s="7" t="s">
        <v>87</v>
      </c>
      <c r="E179" s="9">
        <v>4</v>
      </c>
      <c r="F179" s="11">
        <v>4</v>
      </c>
    </row>
    <row r="180" spans="1:6" ht="12" customHeight="1" x14ac:dyDescent="0.2">
      <c r="A180" s="12">
        <v>40.1</v>
      </c>
      <c r="B180" s="1" t="s">
        <v>274</v>
      </c>
      <c r="C180" s="7" t="s">
        <v>275</v>
      </c>
      <c r="D180" s="7" t="s">
        <v>12</v>
      </c>
      <c r="E180" s="9">
        <v>2</v>
      </c>
      <c r="F180" s="11">
        <v>1</v>
      </c>
    </row>
    <row r="181" spans="1:6" ht="12" customHeight="1" x14ac:dyDescent="0.2">
      <c r="A181" s="12">
        <v>40.200000000000003</v>
      </c>
      <c r="B181" s="1" t="s">
        <v>276</v>
      </c>
      <c r="C181" s="7" t="s">
        <v>277</v>
      </c>
      <c r="D181" s="7" t="s">
        <v>12</v>
      </c>
      <c r="E181" s="9">
        <v>2</v>
      </c>
      <c r="F181" s="11">
        <v>0</v>
      </c>
    </row>
    <row r="182" spans="1:6" ht="12" customHeight="1" x14ac:dyDescent="0.2">
      <c r="A182" s="11">
        <v>41</v>
      </c>
      <c r="B182" s="6">
        <v>58985066</v>
      </c>
      <c r="C182" s="7" t="s">
        <v>278</v>
      </c>
      <c r="D182" s="7" t="s">
        <v>12</v>
      </c>
      <c r="E182" s="9">
        <v>45</v>
      </c>
      <c r="F182" s="11">
        <v>51</v>
      </c>
    </row>
    <row r="183" spans="1:6" ht="12" customHeight="1" x14ac:dyDescent="0.2">
      <c r="A183" s="11">
        <v>42</v>
      </c>
      <c r="B183" s="1" t="s">
        <v>279</v>
      </c>
      <c r="C183" s="7" t="s">
        <v>280</v>
      </c>
      <c r="D183" s="7" t="s">
        <v>87</v>
      </c>
      <c r="E183" s="9">
        <v>2</v>
      </c>
      <c r="F183" s="11">
        <v>5</v>
      </c>
    </row>
    <row r="184" spans="1:6" ht="12" customHeight="1" x14ac:dyDescent="0.2">
      <c r="A184" s="12">
        <v>42.1</v>
      </c>
      <c r="B184" s="1" t="s">
        <v>281</v>
      </c>
      <c r="C184" s="7" t="s">
        <v>282</v>
      </c>
      <c r="D184" s="7" t="s">
        <v>87</v>
      </c>
      <c r="E184" s="9">
        <v>0</v>
      </c>
      <c r="F184" s="11">
        <v>0</v>
      </c>
    </row>
    <row r="185" spans="1:6" ht="12" customHeight="1" x14ac:dyDescent="0.2">
      <c r="A185" s="12">
        <v>42.2</v>
      </c>
      <c r="B185" s="6">
        <v>64399756</v>
      </c>
      <c r="C185" s="7" t="s">
        <v>283</v>
      </c>
      <c r="D185" s="7" t="s">
        <v>87</v>
      </c>
      <c r="E185" s="9">
        <v>3</v>
      </c>
      <c r="F185" s="11">
        <v>0</v>
      </c>
    </row>
    <row r="186" spans="1:6" ht="12" customHeight="1" x14ac:dyDescent="0.2">
      <c r="A186" s="12">
        <v>42.3</v>
      </c>
      <c r="B186" s="1" t="s">
        <v>284</v>
      </c>
      <c r="C186" s="7" t="s">
        <v>285</v>
      </c>
      <c r="D186" s="8"/>
      <c r="E186" s="9">
        <v>2</v>
      </c>
      <c r="F186" s="11">
        <v>1</v>
      </c>
    </row>
    <row r="187" spans="1:6" ht="12" customHeight="1" x14ac:dyDescent="0.2">
      <c r="A187" s="12">
        <v>42.4</v>
      </c>
      <c r="B187" s="1" t="s">
        <v>286</v>
      </c>
      <c r="C187" s="7" t="s">
        <v>287</v>
      </c>
      <c r="D187" s="8"/>
      <c r="E187" s="9">
        <v>0</v>
      </c>
      <c r="F187" s="11">
        <v>5</v>
      </c>
    </row>
    <row r="188" spans="1:6" ht="12" customHeight="1" x14ac:dyDescent="0.2">
      <c r="A188" s="11">
        <v>159</v>
      </c>
      <c r="B188" s="1" t="s">
        <v>288</v>
      </c>
      <c r="C188" s="7" t="s">
        <v>289</v>
      </c>
      <c r="D188" s="7" t="s">
        <v>87</v>
      </c>
      <c r="E188" s="9">
        <v>2</v>
      </c>
      <c r="F188" s="11">
        <v>0</v>
      </c>
    </row>
    <row r="189" spans="1:6" ht="12" customHeight="1" x14ac:dyDescent="0.2">
      <c r="A189" s="11">
        <v>167</v>
      </c>
      <c r="B189" s="6">
        <v>64209426</v>
      </c>
      <c r="C189" s="7" t="s">
        <v>290</v>
      </c>
      <c r="D189" s="7" t="s">
        <v>87</v>
      </c>
      <c r="E189" s="9">
        <v>1</v>
      </c>
      <c r="F189" s="11">
        <v>1</v>
      </c>
    </row>
    <row r="190" spans="1:6" ht="12" customHeight="1" x14ac:dyDescent="0.2">
      <c r="A190" s="11">
        <v>170</v>
      </c>
      <c r="B190" s="1" t="s">
        <v>291</v>
      </c>
      <c r="C190" s="7" t="s">
        <v>292</v>
      </c>
      <c r="D190" s="7" t="s">
        <v>12</v>
      </c>
      <c r="E190" s="9">
        <v>1</v>
      </c>
      <c r="F190" s="11">
        <v>1</v>
      </c>
    </row>
    <row r="191" spans="1:6" ht="12" customHeight="1" x14ac:dyDescent="0.2">
      <c r="A191" s="11">
        <v>171</v>
      </c>
      <c r="B191" s="1" t="s">
        <v>293</v>
      </c>
      <c r="C191" s="7" t="s">
        <v>294</v>
      </c>
      <c r="D191" s="7" t="s">
        <v>87</v>
      </c>
      <c r="E191" s="9">
        <v>1</v>
      </c>
      <c r="F191" s="11">
        <v>1</v>
      </c>
    </row>
    <row r="192" spans="1:6" ht="12" customHeight="1" x14ac:dyDescent="0.2">
      <c r="A192" s="11">
        <v>173</v>
      </c>
      <c r="B192" s="1" t="s">
        <v>295</v>
      </c>
      <c r="C192" s="7" t="s">
        <v>296</v>
      </c>
      <c r="D192" s="7" t="s">
        <v>12</v>
      </c>
      <c r="E192" s="9">
        <v>2</v>
      </c>
      <c r="F192" s="11">
        <v>11</v>
      </c>
    </row>
    <row r="193" spans="1:6" ht="12" customHeight="1" x14ac:dyDescent="0.2">
      <c r="A193" s="11">
        <v>174</v>
      </c>
      <c r="B193" s="6">
        <v>68692172</v>
      </c>
      <c r="C193" s="7" t="s">
        <v>297</v>
      </c>
      <c r="D193" s="8"/>
      <c r="E193" s="9">
        <v>2</v>
      </c>
      <c r="F193" s="11">
        <v>0</v>
      </c>
    </row>
    <row r="194" spans="1:6" ht="12" customHeight="1" x14ac:dyDescent="0.2">
      <c r="A194" s="11">
        <v>210</v>
      </c>
      <c r="B194" s="6">
        <v>68685826</v>
      </c>
      <c r="C194" s="7" t="s">
        <v>298</v>
      </c>
      <c r="D194" s="8"/>
      <c r="E194" s="9">
        <v>2</v>
      </c>
      <c r="F194" s="11">
        <v>0</v>
      </c>
    </row>
    <row r="195" spans="1:6" ht="12" customHeight="1" x14ac:dyDescent="0.2">
      <c r="A195" s="11">
        <v>211</v>
      </c>
      <c r="B195" s="6">
        <v>68239290</v>
      </c>
      <c r="C195" s="7" t="s">
        <v>299</v>
      </c>
      <c r="D195" s="8"/>
      <c r="E195" s="9">
        <v>2</v>
      </c>
      <c r="F195" s="11">
        <v>0</v>
      </c>
    </row>
    <row r="196" spans="1:6" ht="12" customHeight="1" x14ac:dyDescent="0.2">
      <c r="A196" s="11">
        <v>212</v>
      </c>
      <c r="B196" s="1" t="s">
        <v>300</v>
      </c>
      <c r="C196" s="7" t="s">
        <v>301</v>
      </c>
      <c r="D196" s="8"/>
      <c r="E196" s="9">
        <v>0</v>
      </c>
      <c r="F196" s="11">
        <v>0</v>
      </c>
    </row>
    <row r="197" spans="1:6" ht="12" customHeight="1" x14ac:dyDescent="0.2">
      <c r="A197" s="11">
        <v>213</v>
      </c>
      <c r="B197" s="6">
        <v>64605666</v>
      </c>
      <c r="C197" s="7" t="s">
        <v>302</v>
      </c>
      <c r="D197" s="8"/>
      <c r="E197" s="9">
        <v>0</v>
      </c>
      <c r="F197" s="11">
        <v>0</v>
      </c>
    </row>
    <row r="198" spans="1:6" ht="12" customHeight="1" x14ac:dyDescent="0.2">
      <c r="A198" s="11">
        <v>214</v>
      </c>
      <c r="B198" s="6">
        <v>68569354</v>
      </c>
      <c r="C198" s="7" t="s">
        <v>303</v>
      </c>
      <c r="D198" s="8"/>
      <c r="E198" s="9">
        <v>0</v>
      </c>
      <c r="F198" s="11">
        <v>0</v>
      </c>
    </row>
    <row r="199" spans="1:6" ht="13.9" customHeight="1" x14ac:dyDescent="0.2">
      <c r="A199" s="11">
        <v>215</v>
      </c>
      <c r="B199" s="6">
        <v>68909058</v>
      </c>
      <c r="C199" s="7" t="s">
        <v>304</v>
      </c>
      <c r="D199" s="8"/>
      <c r="E199" s="9">
        <v>0</v>
      </c>
      <c r="F199" s="11">
        <v>18</v>
      </c>
    </row>
    <row r="200" spans="1:6" ht="12" customHeight="1" x14ac:dyDescent="0.2">
      <c r="A200" s="30" t="s">
        <v>13</v>
      </c>
      <c r="B200" s="31"/>
      <c r="C200" s="31"/>
      <c r="D200" s="31"/>
      <c r="E200" s="31"/>
      <c r="F200" s="33">
        <f>SUM(F140:F199)</f>
        <v>499</v>
      </c>
    </row>
    <row r="201" spans="1:6" ht="23.65" customHeight="1" x14ac:dyDescent="0.2">
      <c r="A201" s="13"/>
      <c r="B201" s="13"/>
      <c r="C201" s="13"/>
      <c r="D201" s="13"/>
      <c r="E201" s="13"/>
      <c r="F201" s="21"/>
    </row>
    <row r="202" spans="1:6" ht="12" customHeight="1" x14ac:dyDescent="0.2">
      <c r="A202" s="25" t="s">
        <v>305</v>
      </c>
      <c r="B202" s="25"/>
      <c r="C202" s="25"/>
      <c r="D202" s="25"/>
      <c r="E202" s="25"/>
      <c r="F202" s="25"/>
    </row>
    <row r="203" spans="1:6" ht="13.15" customHeight="1" x14ac:dyDescent="0.2">
      <c r="A203" s="11">
        <v>6</v>
      </c>
      <c r="B203" s="1" t="s">
        <v>306</v>
      </c>
      <c r="C203" s="7" t="s">
        <v>307</v>
      </c>
      <c r="D203" s="7" t="s">
        <v>12</v>
      </c>
      <c r="E203" s="9">
        <v>4</v>
      </c>
      <c r="F203" s="11">
        <v>4</v>
      </c>
    </row>
    <row r="204" spans="1:6" ht="12" customHeight="1" x14ac:dyDescent="0.2">
      <c r="A204" s="11">
        <v>8</v>
      </c>
      <c r="B204" s="1" t="s">
        <v>308</v>
      </c>
      <c r="C204" s="7" t="s">
        <v>309</v>
      </c>
      <c r="D204" s="7" t="s">
        <v>12</v>
      </c>
      <c r="E204" s="9">
        <v>2</v>
      </c>
      <c r="F204" s="11">
        <v>3</v>
      </c>
    </row>
    <row r="205" spans="1:6" ht="12" customHeight="1" x14ac:dyDescent="0.2">
      <c r="A205" s="11">
        <v>9</v>
      </c>
      <c r="B205" s="1" t="s">
        <v>310</v>
      </c>
      <c r="C205" s="7" t="s">
        <v>311</v>
      </c>
      <c r="D205" s="7" t="s">
        <v>12</v>
      </c>
      <c r="E205" s="9">
        <v>2</v>
      </c>
      <c r="F205" s="11">
        <v>2</v>
      </c>
    </row>
    <row r="206" spans="1:6" ht="12" customHeight="1" x14ac:dyDescent="0.2">
      <c r="A206" s="11">
        <v>10</v>
      </c>
      <c r="B206" s="1" t="s">
        <v>312</v>
      </c>
      <c r="C206" s="7" t="s">
        <v>313</v>
      </c>
      <c r="D206" s="7" t="s">
        <v>12</v>
      </c>
      <c r="E206" s="9">
        <v>1</v>
      </c>
      <c r="F206" s="11">
        <v>1</v>
      </c>
    </row>
    <row r="207" spans="1:6" ht="12" customHeight="1" x14ac:dyDescent="0.2">
      <c r="A207" s="11">
        <v>11</v>
      </c>
      <c r="B207" s="1" t="s">
        <v>314</v>
      </c>
      <c r="C207" s="7" t="s">
        <v>315</v>
      </c>
      <c r="D207" s="7" t="s">
        <v>12</v>
      </c>
      <c r="E207" s="9">
        <v>7</v>
      </c>
      <c r="F207" s="11">
        <v>7</v>
      </c>
    </row>
    <row r="208" spans="1:6" ht="12" customHeight="1" x14ac:dyDescent="0.2">
      <c r="A208" s="12">
        <v>11.1</v>
      </c>
      <c r="B208" s="1" t="s">
        <v>316</v>
      </c>
      <c r="C208" s="7" t="s">
        <v>317</v>
      </c>
      <c r="D208" s="7" t="s">
        <v>12</v>
      </c>
      <c r="E208" s="9">
        <v>14</v>
      </c>
      <c r="F208" s="11">
        <v>4</v>
      </c>
    </row>
    <row r="209" spans="1:6" ht="12" customHeight="1" x14ac:dyDescent="0.2">
      <c r="A209" s="12">
        <v>11.2</v>
      </c>
      <c r="B209" s="1" t="s">
        <v>318</v>
      </c>
      <c r="C209" s="7" t="s">
        <v>319</v>
      </c>
      <c r="D209" s="7" t="s">
        <v>12</v>
      </c>
      <c r="E209" s="9">
        <v>6</v>
      </c>
      <c r="F209" s="11">
        <v>6</v>
      </c>
    </row>
    <row r="210" spans="1:6" ht="12" customHeight="1" x14ac:dyDescent="0.2">
      <c r="A210" s="12">
        <v>11.3</v>
      </c>
      <c r="B210" s="1" t="s">
        <v>320</v>
      </c>
      <c r="C210" s="7" t="s">
        <v>321</v>
      </c>
      <c r="D210" s="7" t="s">
        <v>12</v>
      </c>
      <c r="E210" s="9">
        <v>27</v>
      </c>
      <c r="F210" s="11">
        <v>27</v>
      </c>
    </row>
    <row r="211" spans="1:6" ht="12" customHeight="1" x14ac:dyDescent="0.2">
      <c r="A211" s="12">
        <v>11.4</v>
      </c>
      <c r="B211" s="1" t="s">
        <v>322</v>
      </c>
      <c r="C211" s="7" t="s">
        <v>323</v>
      </c>
      <c r="D211" s="7" t="s">
        <v>12</v>
      </c>
      <c r="E211" s="9">
        <v>20</v>
      </c>
      <c r="F211" s="11">
        <v>20</v>
      </c>
    </row>
    <row r="212" spans="1:6" ht="12" customHeight="1" x14ac:dyDescent="0.2">
      <c r="A212" s="11">
        <v>12</v>
      </c>
      <c r="B212" s="1" t="s">
        <v>324</v>
      </c>
      <c r="C212" s="7" t="s">
        <v>325</v>
      </c>
      <c r="D212" s="7" t="s">
        <v>12</v>
      </c>
      <c r="E212" s="9">
        <v>1</v>
      </c>
      <c r="F212" s="11">
        <v>0</v>
      </c>
    </row>
    <row r="213" spans="1:6" ht="13.9" customHeight="1" x14ac:dyDescent="0.2">
      <c r="A213" s="11">
        <v>303</v>
      </c>
      <c r="B213" s="6">
        <v>1478230000</v>
      </c>
      <c r="C213" s="7" t="s">
        <v>326</v>
      </c>
      <c r="D213" s="8"/>
      <c r="E213" s="9">
        <v>0</v>
      </c>
      <c r="F213" s="11">
        <v>0</v>
      </c>
    </row>
    <row r="214" spans="1:6" ht="12" customHeight="1" x14ac:dyDescent="0.2">
      <c r="A214" s="30" t="s">
        <v>13</v>
      </c>
      <c r="B214" s="31"/>
      <c r="C214" s="31"/>
      <c r="D214" s="31"/>
      <c r="E214" s="31"/>
      <c r="F214" s="33">
        <f>SUM(F203:F213)</f>
        <v>74</v>
      </c>
    </row>
    <row r="215" spans="1:6" ht="17.649999999999999" customHeight="1" x14ac:dyDescent="0.2">
      <c r="A215" s="13"/>
      <c r="B215" s="13"/>
      <c r="C215" s="13"/>
      <c r="D215" s="13"/>
      <c r="E215" s="13"/>
      <c r="F215" s="21"/>
    </row>
    <row r="216" spans="1:6" ht="12" customHeight="1" x14ac:dyDescent="0.2">
      <c r="A216" s="2" t="s">
        <v>327</v>
      </c>
      <c r="B216" s="8"/>
      <c r="C216" s="8"/>
      <c r="D216" s="8"/>
      <c r="E216" s="8"/>
      <c r="F216" s="18"/>
    </row>
    <row r="217" spans="1:6" ht="13.9" customHeight="1" x14ac:dyDescent="0.2">
      <c r="A217" s="11">
        <v>114</v>
      </c>
      <c r="B217" s="1" t="s">
        <v>328</v>
      </c>
      <c r="C217" s="7" t="s">
        <v>329</v>
      </c>
      <c r="D217" s="7" t="s">
        <v>12</v>
      </c>
      <c r="E217" s="9">
        <v>3</v>
      </c>
      <c r="F217" s="11">
        <v>2</v>
      </c>
    </row>
    <row r="218" spans="1:6" ht="12" customHeight="1" x14ac:dyDescent="0.2">
      <c r="A218" s="12">
        <v>114.1</v>
      </c>
      <c r="B218" s="1" t="s">
        <v>330</v>
      </c>
      <c r="C218" s="7" t="s">
        <v>331</v>
      </c>
      <c r="D218" s="7" t="s">
        <v>12</v>
      </c>
      <c r="E218" s="9">
        <v>1</v>
      </c>
      <c r="F218" s="11">
        <v>0</v>
      </c>
    </row>
    <row r="219" spans="1:6" ht="12" customHeight="1" x14ac:dyDescent="0.2">
      <c r="A219" s="11">
        <v>115</v>
      </c>
      <c r="B219" s="1" t="s">
        <v>332</v>
      </c>
      <c r="C219" s="7" t="s">
        <v>333</v>
      </c>
      <c r="D219" s="7" t="s">
        <v>12</v>
      </c>
      <c r="E219" s="9">
        <v>1</v>
      </c>
      <c r="F219" s="11">
        <v>2</v>
      </c>
    </row>
    <row r="220" spans="1:6" ht="12" customHeight="1" x14ac:dyDescent="0.2">
      <c r="A220" s="11">
        <v>116</v>
      </c>
      <c r="B220" s="1" t="s">
        <v>334</v>
      </c>
      <c r="C220" s="7" t="s">
        <v>335</v>
      </c>
      <c r="D220" s="7" t="s">
        <v>12</v>
      </c>
      <c r="E220" s="9">
        <v>4</v>
      </c>
      <c r="F220" s="11">
        <v>0</v>
      </c>
    </row>
    <row r="221" spans="1:6" ht="12" customHeight="1" x14ac:dyDescent="0.2">
      <c r="A221" s="11">
        <v>117</v>
      </c>
      <c r="B221" s="1" t="s">
        <v>336</v>
      </c>
      <c r="C221" s="7" t="s">
        <v>337</v>
      </c>
      <c r="D221" s="7" t="s">
        <v>12</v>
      </c>
      <c r="E221" s="9">
        <v>4</v>
      </c>
      <c r="F221" s="11">
        <v>0</v>
      </c>
    </row>
    <row r="222" spans="1:6" ht="12" customHeight="1" x14ac:dyDescent="0.2">
      <c r="A222" s="11">
        <v>118</v>
      </c>
      <c r="B222" s="1" t="s">
        <v>338</v>
      </c>
      <c r="C222" s="7" t="s">
        <v>339</v>
      </c>
      <c r="D222" s="7" t="s">
        <v>12</v>
      </c>
      <c r="E222" s="9">
        <v>27</v>
      </c>
      <c r="F222" s="11">
        <v>0</v>
      </c>
    </row>
    <row r="223" spans="1:6" ht="12" customHeight="1" x14ac:dyDescent="0.2">
      <c r="A223" s="11">
        <v>119</v>
      </c>
      <c r="B223" s="1" t="s">
        <v>340</v>
      </c>
      <c r="C223" s="7" t="s">
        <v>341</v>
      </c>
      <c r="D223" s="7" t="s">
        <v>12</v>
      </c>
      <c r="E223" s="9">
        <v>12</v>
      </c>
      <c r="F223" s="11">
        <v>0</v>
      </c>
    </row>
    <row r="224" spans="1:6" ht="12" customHeight="1" x14ac:dyDescent="0.2">
      <c r="A224" s="11">
        <v>120</v>
      </c>
      <c r="B224" s="1" t="s">
        <v>342</v>
      </c>
      <c r="C224" s="7" t="s">
        <v>343</v>
      </c>
      <c r="D224" s="7" t="s">
        <v>12</v>
      </c>
      <c r="E224" s="9">
        <v>17</v>
      </c>
      <c r="F224" s="11">
        <v>0</v>
      </c>
    </row>
    <row r="225" spans="1:6" ht="12" customHeight="1" x14ac:dyDescent="0.2">
      <c r="A225" s="11">
        <v>180</v>
      </c>
      <c r="B225" s="1" t="s">
        <v>344</v>
      </c>
      <c r="C225" s="7" t="s">
        <v>345</v>
      </c>
      <c r="D225" s="7" t="s">
        <v>87</v>
      </c>
      <c r="E225" s="9">
        <v>1</v>
      </c>
      <c r="F225" s="11">
        <v>0</v>
      </c>
    </row>
    <row r="226" spans="1:6" ht="12" customHeight="1" x14ac:dyDescent="0.2">
      <c r="A226" s="11">
        <v>181</v>
      </c>
      <c r="B226" s="1" t="s">
        <v>346</v>
      </c>
      <c r="C226" s="7" t="s">
        <v>347</v>
      </c>
      <c r="D226" s="7" t="s">
        <v>87</v>
      </c>
      <c r="E226" s="9">
        <v>1</v>
      </c>
      <c r="F226" s="11">
        <v>1</v>
      </c>
    </row>
    <row r="227" spans="1:6" ht="12" customHeight="1" x14ac:dyDescent="0.2">
      <c r="A227" s="11">
        <v>182</v>
      </c>
      <c r="B227" s="1" t="s">
        <v>348</v>
      </c>
      <c r="C227" s="7" t="s">
        <v>349</v>
      </c>
      <c r="D227" s="7" t="s">
        <v>12</v>
      </c>
      <c r="E227" s="9">
        <v>1</v>
      </c>
      <c r="F227" s="11">
        <v>4</v>
      </c>
    </row>
    <row r="228" spans="1:6" ht="12" customHeight="1" x14ac:dyDescent="0.2">
      <c r="A228" s="11">
        <v>183</v>
      </c>
      <c r="B228" s="1" t="s">
        <v>350</v>
      </c>
      <c r="C228" s="7" t="s">
        <v>351</v>
      </c>
      <c r="D228" s="7" t="s">
        <v>12</v>
      </c>
      <c r="E228" s="9">
        <v>1</v>
      </c>
      <c r="F228" s="11">
        <v>4</v>
      </c>
    </row>
    <row r="229" spans="1:6" ht="12" customHeight="1" x14ac:dyDescent="0.2">
      <c r="A229" s="11">
        <v>184</v>
      </c>
      <c r="B229" s="1" t="s">
        <v>352</v>
      </c>
      <c r="C229" s="7" t="s">
        <v>352</v>
      </c>
      <c r="D229" s="7" t="s">
        <v>12</v>
      </c>
      <c r="E229" s="9">
        <v>1</v>
      </c>
      <c r="F229" s="11">
        <v>1</v>
      </c>
    </row>
    <row r="230" spans="1:6" ht="12" customHeight="1" x14ac:dyDescent="0.2">
      <c r="A230" s="11">
        <v>185</v>
      </c>
      <c r="B230" s="1" t="s">
        <v>353</v>
      </c>
      <c r="C230" s="7" t="s">
        <v>354</v>
      </c>
      <c r="D230" s="7" t="s">
        <v>12</v>
      </c>
      <c r="E230" s="9">
        <v>1</v>
      </c>
      <c r="F230" s="11">
        <v>0</v>
      </c>
    </row>
    <row r="231" spans="1:6" ht="12" customHeight="1" x14ac:dyDescent="0.2">
      <c r="A231" s="11">
        <v>186</v>
      </c>
      <c r="B231" s="1" t="s">
        <v>355</v>
      </c>
      <c r="C231" s="7" t="s">
        <v>356</v>
      </c>
      <c r="D231" s="7" t="s">
        <v>12</v>
      </c>
      <c r="E231" s="9">
        <v>1</v>
      </c>
      <c r="F231" s="11">
        <v>2</v>
      </c>
    </row>
    <row r="232" spans="1:6" ht="12" customHeight="1" x14ac:dyDescent="0.2">
      <c r="A232" s="11">
        <v>187</v>
      </c>
      <c r="B232" s="1" t="s">
        <v>357</v>
      </c>
      <c r="C232" s="7" t="s">
        <v>358</v>
      </c>
      <c r="D232" s="7" t="s">
        <v>12</v>
      </c>
      <c r="E232" s="9">
        <v>1</v>
      </c>
      <c r="F232" s="11">
        <v>0</v>
      </c>
    </row>
    <row r="233" spans="1:6" ht="13.15" customHeight="1" x14ac:dyDescent="0.2">
      <c r="A233" s="11">
        <v>188</v>
      </c>
      <c r="B233" s="1" t="s">
        <v>359</v>
      </c>
      <c r="C233" s="7" t="s">
        <v>360</v>
      </c>
      <c r="D233" s="8"/>
      <c r="E233" s="9">
        <v>0</v>
      </c>
      <c r="F233" s="11">
        <v>0</v>
      </c>
    </row>
    <row r="234" spans="1:6" ht="12" customHeight="1" x14ac:dyDescent="0.2">
      <c r="A234" s="30" t="s">
        <v>13</v>
      </c>
      <c r="B234" s="31"/>
      <c r="C234" s="31"/>
      <c r="D234" s="31"/>
      <c r="E234" s="31"/>
      <c r="F234" s="33">
        <f>SUM(F217:F233)</f>
        <v>16</v>
      </c>
    </row>
    <row r="235" spans="1:6" ht="18.399999999999999" customHeight="1" x14ac:dyDescent="0.2">
      <c r="A235" s="13"/>
      <c r="B235" s="13"/>
      <c r="C235" s="13"/>
      <c r="D235" s="13"/>
      <c r="E235" s="13"/>
      <c r="F235" s="21"/>
    </row>
    <row r="236" spans="1:6" ht="12" customHeight="1" x14ac:dyDescent="0.2">
      <c r="A236" s="25" t="s">
        <v>361</v>
      </c>
      <c r="B236" s="25"/>
      <c r="C236" s="25"/>
      <c r="D236" s="25"/>
      <c r="E236" s="25"/>
      <c r="F236" s="25"/>
    </row>
    <row r="237" spans="1:6" ht="13.9" customHeight="1" x14ac:dyDescent="0.2">
      <c r="A237" s="11">
        <v>66</v>
      </c>
      <c r="B237" s="1" t="s">
        <v>362</v>
      </c>
      <c r="C237" s="7" t="s">
        <v>363</v>
      </c>
      <c r="D237" s="7" t="s">
        <v>12</v>
      </c>
      <c r="E237" s="9">
        <v>72</v>
      </c>
      <c r="F237" s="11">
        <v>46</v>
      </c>
    </row>
    <row r="238" spans="1:6" ht="12" customHeight="1" x14ac:dyDescent="0.2">
      <c r="A238" s="12">
        <v>66.099999999999994</v>
      </c>
      <c r="B238" s="1" t="s">
        <v>364</v>
      </c>
      <c r="C238" s="7" t="s">
        <v>365</v>
      </c>
      <c r="D238" s="7" t="s">
        <v>12</v>
      </c>
      <c r="E238" s="9">
        <v>3</v>
      </c>
      <c r="F238" s="11">
        <v>3</v>
      </c>
    </row>
    <row r="239" spans="1:6" ht="12" customHeight="1" x14ac:dyDescent="0.2">
      <c r="A239" s="12">
        <v>67.099999999999994</v>
      </c>
      <c r="B239" s="1" t="s">
        <v>366</v>
      </c>
      <c r="C239" s="7" t="s">
        <v>367</v>
      </c>
      <c r="D239" s="7" t="s">
        <v>12</v>
      </c>
      <c r="E239" s="9">
        <v>610</v>
      </c>
      <c r="F239" s="11">
        <v>610</v>
      </c>
    </row>
    <row r="240" spans="1:6" ht="12" customHeight="1" x14ac:dyDescent="0.2">
      <c r="A240" s="11">
        <v>74</v>
      </c>
      <c r="B240" s="6">
        <v>1238130000</v>
      </c>
      <c r="C240" s="7" t="s">
        <v>368</v>
      </c>
      <c r="D240" s="7" t="s">
        <v>12</v>
      </c>
      <c r="E240" s="9">
        <v>14</v>
      </c>
      <c r="F240" s="11">
        <v>4</v>
      </c>
    </row>
    <row r="241" spans="1:6" ht="12" customHeight="1" x14ac:dyDescent="0.2">
      <c r="A241" s="11">
        <v>75</v>
      </c>
      <c r="B241" s="1" t="s">
        <v>369</v>
      </c>
      <c r="C241" s="7" t="s">
        <v>370</v>
      </c>
      <c r="D241" s="7" t="s">
        <v>12</v>
      </c>
      <c r="E241" s="9">
        <v>4</v>
      </c>
      <c r="F241" s="11">
        <v>0</v>
      </c>
    </row>
    <row r="242" spans="1:6" ht="12" customHeight="1" x14ac:dyDescent="0.2">
      <c r="A242" s="11">
        <v>76</v>
      </c>
      <c r="B242" s="1" t="s">
        <v>371</v>
      </c>
      <c r="C242" s="7" t="s">
        <v>372</v>
      </c>
      <c r="D242" s="7" t="s">
        <v>12</v>
      </c>
      <c r="E242" s="9">
        <v>3</v>
      </c>
      <c r="F242" s="11">
        <v>0</v>
      </c>
    </row>
    <row r="243" spans="1:6" ht="12" customHeight="1" x14ac:dyDescent="0.2">
      <c r="A243" s="12">
        <v>76.099999999999994</v>
      </c>
      <c r="B243" s="1" t="s">
        <v>373</v>
      </c>
      <c r="C243" s="7" t="s">
        <v>374</v>
      </c>
      <c r="D243" s="7" t="s">
        <v>12</v>
      </c>
      <c r="E243" s="9">
        <v>3</v>
      </c>
      <c r="F243" s="11">
        <v>3</v>
      </c>
    </row>
    <row r="244" spans="1:6" ht="12" customHeight="1" x14ac:dyDescent="0.2">
      <c r="A244" s="11">
        <v>78</v>
      </c>
      <c r="B244" s="1" t="s">
        <v>375</v>
      </c>
      <c r="C244" s="7" t="s">
        <v>376</v>
      </c>
      <c r="D244" s="7" t="s">
        <v>12</v>
      </c>
      <c r="E244" s="9">
        <v>2</v>
      </c>
      <c r="F244" s="11">
        <v>5</v>
      </c>
    </row>
    <row r="245" spans="1:6" ht="12" customHeight="1" x14ac:dyDescent="0.2">
      <c r="A245" s="11">
        <v>79</v>
      </c>
      <c r="B245" s="1" t="s">
        <v>377</v>
      </c>
      <c r="C245" s="7" t="s">
        <v>378</v>
      </c>
      <c r="D245" s="7" t="s">
        <v>12</v>
      </c>
      <c r="E245" s="9">
        <v>3</v>
      </c>
      <c r="F245" s="11">
        <v>2</v>
      </c>
    </row>
    <row r="246" spans="1:6" ht="12" customHeight="1" x14ac:dyDescent="0.2">
      <c r="A246" s="11">
        <v>80</v>
      </c>
      <c r="B246" s="1" t="s">
        <v>379</v>
      </c>
      <c r="C246" s="7" t="s">
        <v>380</v>
      </c>
      <c r="D246" s="7" t="s">
        <v>12</v>
      </c>
      <c r="E246" s="9">
        <v>5</v>
      </c>
      <c r="F246" s="11">
        <v>5</v>
      </c>
    </row>
    <row r="247" spans="1:6" ht="12" customHeight="1" x14ac:dyDescent="0.2">
      <c r="A247" s="12">
        <v>80.099999999999994</v>
      </c>
      <c r="B247" s="1" t="s">
        <v>381</v>
      </c>
      <c r="C247" s="7" t="s">
        <v>382</v>
      </c>
      <c r="D247" s="7" t="s">
        <v>12</v>
      </c>
      <c r="E247" s="9">
        <v>4</v>
      </c>
      <c r="F247" s="11">
        <v>2</v>
      </c>
    </row>
    <row r="248" spans="1:6" ht="12" customHeight="1" x14ac:dyDescent="0.2">
      <c r="A248" s="11">
        <v>81</v>
      </c>
      <c r="B248" s="1" t="s">
        <v>383</v>
      </c>
      <c r="C248" s="7" t="s">
        <v>384</v>
      </c>
      <c r="D248" s="7" t="s">
        <v>12</v>
      </c>
      <c r="E248" s="9">
        <v>2</v>
      </c>
      <c r="F248" s="11">
        <v>2</v>
      </c>
    </row>
    <row r="249" spans="1:6" ht="12" customHeight="1" x14ac:dyDescent="0.2">
      <c r="A249" s="11">
        <v>82</v>
      </c>
      <c r="B249" s="1" t="s">
        <v>385</v>
      </c>
      <c r="C249" s="7" t="s">
        <v>386</v>
      </c>
      <c r="D249" s="7" t="s">
        <v>12</v>
      </c>
      <c r="E249" s="9">
        <v>2</v>
      </c>
      <c r="F249" s="11">
        <v>2</v>
      </c>
    </row>
    <row r="250" spans="1:6" ht="12" customHeight="1" x14ac:dyDescent="0.2">
      <c r="A250" s="11">
        <v>83</v>
      </c>
      <c r="B250" s="6">
        <v>1530700000</v>
      </c>
      <c r="C250" s="7" t="s">
        <v>387</v>
      </c>
      <c r="D250" s="7" t="s">
        <v>12</v>
      </c>
      <c r="E250" s="9">
        <v>60</v>
      </c>
      <c r="F250" s="11">
        <v>55</v>
      </c>
    </row>
    <row r="251" spans="1:6" ht="12" customHeight="1" x14ac:dyDescent="0.2">
      <c r="A251" s="11">
        <v>84</v>
      </c>
      <c r="B251" s="6">
        <v>1530670000</v>
      </c>
      <c r="C251" s="7" t="s">
        <v>388</v>
      </c>
      <c r="D251" s="7" t="s">
        <v>12</v>
      </c>
      <c r="E251" s="9">
        <v>60</v>
      </c>
      <c r="F251" s="11">
        <v>26</v>
      </c>
    </row>
    <row r="252" spans="1:6" ht="12" customHeight="1" x14ac:dyDescent="0.2">
      <c r="A252" s="11">
        <v>85</v>
      </c>
      <c r="B252" s="1" t="s">
        <v>389</v>
      </c>
      <c r="C252" s="7" t="s">
        <v>390</v>
      </c>
      <c r="D252" s="7" t="s">
        <v>12</v>
      </c>
      <c r="E252" s="9">
        <v>60</v>
      </c>
      <c r="F252" s="11">
        <v>52</v>
      </c>
    </row>
    <row r="253" spans="1:6" ht="12" customHeight="1" x14ac:dyDescent="0.2">
      <c r="A253" s="11">
        <v>86</v>
      </c>
      <c r="B253" s="6">
        <v>1530680000</v>
      </c>
      <c r="C253" s="7" t="s">
        <v>391</v>
      </c>
      <c r="D253" s="7" t="s">
        <v>12</v>
      </c>
      <c r="E253" s="9">
        <v>60</v>
      </c>
      <c r="F253" s="11">
        <v>17</v>
      </c>
    </row>
    <row r="254" spans="1:6" ht="13.15" customHeight="1" x14ac:dyDescent="0.2">
      <c r="A254" s="14" t="s">
        <v>392</v>
      </c>
      <c r="B254" s="1" t="s">
        <v>393</v>
      </c>
      <c r="C254" s="7" t="s">
        <v>393</v>
      </c>
      <c r="D254" s="7" t="s">
        <v>12</v>
      </c>
      <c r="E254" s="9">
        <v>2</v>
      </c>
      <c r="F254" s="11">
        <v>1</v>
      </c>
    </row>
    <row r="255" spans="1:6" ht="12" customHeight="1" x14ac:dyDescent="0.2">
      <c r="A255" s="30" t="s">
        <v>13</v>
      </c>
      <c r="B255" s="31"/>
      <c r="C255" s="31"/>
      <c r="D255" s="31"/>
      <c r="E255" s="31"/>
      <c r="F255" s="33">
        <f>SUM(F237:F254)</f>
        <v>835</v>
      </c>
    </row>
    <row r="256" spans="1:6" ht="23.65" customHeight="1" x14ac:dyDescent="0.2">
      <c r="A256" s="13"/>
      <c r="B256" s="13"/>
      <c r="C256" s="13"/>
      <c r="D256" s="13"/>
      <c r="E256" s="13"/>
      <c r="F256" s="21"/>
    </row>
    <row r="257" spans="1:6" ht="12" customHeight="1" x14ac:dyDescent="0.2">
      <c r="A257" s="2" t="s">
        <v>394</v>
      </c>
      <c r="B257" s="8"/>
      <c r="C257" s="8"/>
      <c r="D257" s="8"/>
      <c r="E257" s="8"/>
      <c r="F257" s="18"/>
    </row>
    <row r="258" spans="1:6" ht="13.9" customHeight="1" x14ac:dyDescent="0.2">
      <c r="A258" s="11">
        <v>87</v>
      </c>
      <c r="B258" s="6">
        <v>1345100300</v>
      </c>
      <c r="C258" s="7" t="s">
        <v>395</v>
      </c>
      <c r="D258" s="7" t="s">
        <v>12</v>
      </c>
      <c r="E258" s="9">
        <v>10</v>
      </c>
      <c r="F258" s="11">
        <v>5</v>
      </c>
    </row>
    <row r="259" spans="1:6" ht="12" customHeight="1" x14ac:dyDescent="0.2">
      <c r="A259" s="12">
        <v>87.1</v>
      </c>
      <c r="B259" s="6">
        <v>1347100300</v>
      </c>
      <c r="C259" s="7" t="s">
        <v>396</v>
      </c>
      <c r="D259" s="7" t="s">
        <v>12</v>
      </c>
      <c r="E259" s="9">
        <v>5</v>
      </c>
      <c r="F259" s="11">
        <v>0</v>
      </c>
    </row>
    <row r="260" spans="1:6" ht="12" customHeight="1" x14ac:dyDescent="0.2">
      <c r="A260" s="11">
        <v>88</v>
      </c>
      <c r="B260" s="1" t="s">
        <v>397</v>
      </c>
      <c r="C260" s="7" t="s">
        <v>398</v>
      </c>
      <c r="D260" s="7" t="s">
        <v>12</v>
      </c>
      <c r="E260" s="9">
        <v>3</v>
      </c>
      <c r="F260" s="11">
        <v>5</v>
      </c>
    </row>
    <row r="261" spans="1:6" ht="12" customHeight="1" x14ac:dyDescent="0.2">
      <c r="A261" s="12">
        <v>89.1</v>
      </c>
      <c r="B261" s="1" t="s">
        <v>399</v>
      </c>
      <c r="C261" s="7" t="s">
        <v>400</v>
      </c>
      <c r="D261" s="8"/>
      <c r="E261" s="9">
        <v>0</v>
      </c>
      <c r="F261" s="11">
        <v>10</v>
      </c>
    </row>
    <row r="262" spans="1:6" ht="12" customHeight="1" x14ac:dyDescent="0.2">
      <c r="A262" s="11">
        <v>90</v>
      </c>
      <c r="B262" s="1" t="s">
        <v>401</v>
      </c>
      <c r="C262" s="7" t="s">
        <v>402</v>
      </c>
      <c r="D262" s="7" t="s">
        <v>87</v>
      </c>
      <c r="E262" s="9">
        <v>5</v>
      </c>
      <c r="F262" s="11">
        <v>6</v>
      </c>
    </row>
    <row r="263" spans="1:6" ht="12" customHeight="1" x14ac:dyDescent="0.2">
      <c r="A263" s="11">
        <v>91</v>
      </c>
      <c r="B263" s="1" t="s">
        <v>403</v>
      </c>
      <c r="C263" s="7" t="s">
        <v>404</v>
      </c>
      <c r="D263" s="7" t="s">
        <v>12</v>
      </c>
      <c r="E263" s="9">
        <v>4</v>
      </c>
      <c r="F263" s="11">
        <v>0</v>
      </c>
    </row>
    <row r="264" spans="1:6" ht="12" customHeight="1" x14ac:dyDescent="0.2">
      <c r="A264" s="12">
        <v>91.1</v>
      </c>
      <c r="B264" s="6">
        <v>918224</v>
      </c>
      <c r="C264" s="7" t="s">
        <v>405</v>
      </c>
      <c r="D264" s="7" t="s">
        <v>12</v>
      </c>
      <c r="E264" s="9">
        <v>5</v>
      </c>
      <c r="F264" s="11">
        <v>10</v>
      </c>
    </row>
    <row r="265" spans="1:6" ht="12" customHeight="1" x14ac:dyDescent="0.2">
      <c r="A265" s="11">
        <v>92</v>
      </c>
      <c r="B265" s="6">
        <v>730001</v>
      </c>
      <c r="C265" s="7" t="s">
        <v>406</v>
      </c>
      <c r="D265" s="7" t="s">
        <v>12</v>
      </c>
      <c r="E265" s="9">
        <v>32</v>
      </c>
      <c r="F265" s="11">
        <v>121</v>
      </c>
    </row>
    <row r="266" spans="1:6" ht="12" customHeight="1" x14ac:dyDescent="0.2">
      <c r="A266" s="11">
        <v>93</v>
      </c>
      <c r="B266" s="6">
        <v>3282</v>
      </c>
      <c r="C266" s="7" t="s">
        <v>407</v>
      </c>
      <c r="D266" s="7" t="s">
        <v>12</v>
      </c>
      <c r="E266" s="9">
        <v>5</v>
      </c>
      <c r="F266" s="11">
        <v>5</v>
      </c>
    </row>
    <row r="267" spans="1:6" ht="12" customHeight="1" x14ac:dyDescent="0.2">
      <c r="A267" s="11">
        <v>94</v>
      </c>
      <c r="B267" s="1" t="s">
        <v>408</v>
      </c>
      <c r="C267" s="7" t="s">
        <v>409</v>
      </c>
      <c r="D267" s="7" t="s">
        <v>12</v>
      </c>
      <c r="E267" s="9">
        <v>4</v>
      </c>
      <c r="F267" s="11">
        <v>3</v>
      </c>
    </row>
    <row r="268" spans="1:6" ht="12" customHeight="1" x14ac:dyDescent="0.2">
      <c r="A268" s="11">
        <v>95</v>
      </c>
      <c r="B268" s="1" t="s">
        <v>410</v>
      </c>
      <c r="C268" s="7" t="s">
        <v>411</v>
      </c>
      <c r="D268" s="7" t="s">
        <v>12</v>
      </c>
      <c r="E268" s="9">
        <v>10</v>
      </c>
      <c r="F268" s="11">
        <v>43</v>
      </c>
    </row>
    <row r="269" spans="1:6" ht="12" customHeight="1" x14ac:dyDescent="0.2">
      <c r="A269" s="11">
        <v>106</v>
      </c>
      <c r="B269" s="1" t="s">
        <v>412</v>
      </c>
      <c r="C269" s="7" t="s">
        <v>412</v>
      </c>
      <c r="D269" s="7" t="s">
        <v>12</v>
      </c>
      <c r="E269" s="9">
        <v>50</v>
      </c>
      <c r="F269" s="11">
        <v>0</v>
      </c>
    </row>
    <row r="270" spans="1:6" ht="12" customHeight="1" x14ac:dyDescent="0.2">
      <c r="A270" s="12">
        <v>107.1</v>
      </c>
      <c r="B270" s="1" t="s">
        <v>413</v>
      </c>
      <c r="C270" s="7" t="s">
        <v>414</v>
      </c>
      <c r="D270" s="7" t="s">
        <v>87</v>
      </c>
      <c r="E270" s="9">
        <v>0</v>
      </c>
      <c r="F270" s="11">
        <v>0</v>
      </c>
    </row>
    <row r="271" spans="1:6" ht="12" customHeight="1" x14ac:dyDescent="0.2">
      <c r="A271" s="12">
        <v>107.3</v>
      </c>
      <c r="B271" s="1" t="s">
        <v>415</v>
      </c>
      <c r="C271" s="7" t="s">
        <v>416</v>
      </c>
      <c r="D271" s="7" t="s">
        <v>12</v>
      </c>
      <c r="E271" s="9">
        <v>20</v>
      </c>
      <c r="F271" s="11">
        <v>0</v>
      </c>
    </row>
    <row r="272" spans="1:6" ht="13.15" customHeight="1" x14ac:dyDescent="0.2">
      <c r="A272" s="12">
        <v>107.4</v>
      </c>
      <c r="B272" s="1" t="s">
        <v>417</v>
      </c>
      <c r="C272" s="7" t="s">
        <v>417</v>
      </c>
      <c r="D272" s="8"/>
      <c r="E272" s="9">
        <v>10</v>
      </c>
      <c r="F272" s="11">
        <v>0</v>
      </c>
    </row>
    <row r="273" spans="1:6" ht="12" customHeight="1" x14ac:dyDescent="0.2">
      <c r="A273" s="30" t="s">
        <v>13</v>
      </c>
      <c r="B273" s="31"/>
      <c r="C273" s="31"/>
      <c r="D273" s="31"/>
      <c r="E273" s="31"/>
      <c r="F273" s="33">
        <f>SUM(F258:F272)</f>
        <v>208</v>
      </c>
    </row>
    <row r="274" spans="1:6" ht="18.399999999999999" customHeight="1" x14ac:dyDescent="0.2">
      <c r="A274" s="13"/>
      <c r="B274" s="13"/>
      <c r="C274" s="13"/>
      <c r="D274" s="13"/>
      <c r="E274" s="13"/>
      <c r="F274" s="21"/>
    </row>
    <row r="275" spans="1:6" ht="12" customHeight="1" x14ac:dyDescent="0.2">
      <c r="A275" s="2" t="s">
        <v>418</v>
      </c>
      <c r="B275" s="8"/>
      <c r="C275" s="8"/>
      <c r="D275" s="8"/>
      <c r="E275" s="8"/>
      <c r="F275" s="18"/>
    </row>
    <row r="276" spans="1:6" ht="13.9" customHeight="1" x14ac:dyDescent="0.2">
      <c r="A276" s="11">
        <v>108</v>
      </c>
      <c r="B276" s="1" t="s">
        <v>419</v>
      </c>
      <c r="C276" s="7" t="s">
        <v>420</v>
      </c>
      <c r="D276" s="7" t="s">
        <v>12</v>
      </c>
      <c r="E276" s="9">
        <v>1</v>
      </c>
      <c r="F276" s="11">
        <v>0</v>
      </c>
    </row>
    <row r="277" spans="1:6" ht="12" customHeight="1" x14ac:dyDescent="0.2">
      <c r="A277" s="11">
        <v>109</v>
      </c>
      <c r="B277" s="1" t="s">
        <v>421</v>
      </c>
      <c r="C277" s="7" t="s">
        <v>422</v>
      </c>
      <c r="D277" s="7" t="s">
        <v>12</v>
      </c>
      <c r="E277" s="9">
        <v>12</v>
      </c>
      <c r="F277" s="11">
        <v>0</v>
      </c>
    </row>
    <row r="278" spans="1:6" ht="12" customHeight="1" x14ac:dyDescent="0.2">
      <c r="A278" s="11">
        <v>110</v>
      </c>
      <c r="B278" s="1" t="s">
        <v>423</v>
      </c>
      <c r="C278" s="7" t="s">
        <v>424</v>
      </c>
      <c r="D278" s="7" t="s">
        <v>12</v>
      </c>
      <c r="E278" s="9">
        <v>70</v>
      </c>
      <c r="F278" s="11">
        <v>0</v>
      </c>
    </row>
    <row r="279" spans="1:6" ht="12" customHeight="1" x14ac:dyDescent="0.2">
      <c r="A279" s="11">
        <v>111</v>
      </c>
      <c r="B279" s="1" t="s">
        <v>425</v>
      </c>
      <c r="C279" s="7" t="s">
        <v>426</v>
      </c>
      <c r="D279" s="7" t="s">
        <v>12</v>
      </c>
      <c r="E279" s="9">
        <v>20</v>
      </c>
      <c r="F279" s="11">
        <v>0</v>
      </c>
    </row>
    <row r="280" spans="1:6" ht="13.15" customHeight="1" x14ac:dyDescent="0.2">
      <c r="A280" s="11">
        <v>112</v>
      </c>
      <c r="B280" s="1" t="s">
        <v>427</v>
      </c>
      <c r="C280" s="7" t="s">
        <v>428</v>
      </c>
      <c r="D280" s="7" t="s">
        <v>12</v>
      </c>
      <c r="E280" s="9">
        <v>7</v>
      </c>
      <c r="F280" s="11">
        <v>4</v>
      </c>
    </row>
    <row r="281" spans="1:6" ht="12" customHeight="1" x14ac:dyDescent="0.2">
      <c r="A281" s="30" t="s">
        <v>13</v>
      </c>
      <c r="B281" s="31"/>
      <c r="C281" s="31"/>
      <c r="D281" s="31"/>
      <c r="E281" s="31"/>
      <c r="F281" s="33">
        <f>SUM(F276:F280)</f>
        <v>4</v>
      </c>
    </row>
    <row r="282" spans="1:6" ht="23.65" customHeight="1" x14ac:dyDescent="0.2">
      <c r="A282" s="13"/>
      <c r="B282" s="13"/>
      <c r="C282" s="13"/>
      <c r="D282" s="13"/>
      <c r="E282" s="13"/>
      <c r="F282" s="21"/>
    </row>
    <row r="283" spans="1:6" ht="12" customHeight="1" x14ac:dyDescent="0.2">
      <c r="A283" s="25" t="s">
        <v>429</v>
      </c>
      <c r="B283" s="25"/>
      <c r="C283" s="25"/>
      <c r="D283" s="25"/>
      <c r="E283" s="25"/>
      <c r="F283" s="25"/>
    </row>
    <row r="284" spans="1:6" ht="13.9" customHeight="1" x14ac:dyDescent="0.2">
      <c r="A284" s="11">
        <v>250</v>
      </c>
      <c r="B284" s="1" t="s">
        <v>430</v>
      </c>
      <c r="C284" s="7" t="s">
        <v>431</v>
      </c>
      <c r="D284" s="7" t="s">
        <v>87</v>
      </c>
      <c r="E284" s="9">
        <v>1</v>
      </c>
      <c r="F284" s="11">
        <v>1</v>
      </c>
    </row>
    <row r="285" spans="1:6" ht="12" customHeight="1" x14ac:dyDescent="0.2">
      <c r="A285" s="11">
        <v>251</v>
      </c>
      <c r="B285" s="1" t="s">
        <v>432</v>
      </c>
      <c r="C285" s="7" t="s">
        <v>433</v>
      </c>
      <c r="D285" s="8"/>
      <c r="E285" s="9">
        <v>1</v>
      </c>
      <c r="F285" s="11">
        <v>1</v>
      </c>
    </row>
    <row r="286" spans="1:6" ht="12" customHeight="1" x14ac:dyDescent="0.2">
      <c r="A286" s="11">
        <v>252</v>
      </c>
      <c r="B286" s="1" t="s">
        <v>434</v>
      </c>
      <c r="C286" s="7" t="s">
        <v>435</v>
      </c>
      <c r="D286" s="8"/>
      <c r="E286" s="9">
        <v>1</v>
      </c>
      <c r="F286" s="11">
        <v>1</v>
      </c>
    </row>
    <row r="287" spans="1:6" ht="12" customHeight="1" x14ac:dyDescent="0.2">
      <c r="A287" s="11">
        <v>253</v>
      </c>
      <c r="B287" s="1" t="s">
        <v>436</v>
      </c>
      <c r="C287" s="7" t="s">
        <v>437</v>
      </c>
      <c r="D287" s="8"/>
      <c r="E287" s="9">
        <v>1</v>
      </c>
      <c r="F287" s="11">
        <v>1</v>
      </c>
    </row>
    <row r="288" spans="1:6" ht="12" customHeight="1" x14ac:dyDescent="0.2">
      <c r="A288" s="11">
        <v>254</v>
      </c>
      <c r="B288" s="1" t="s">
        <v>438</v>
      </c>
      <c r="C288" s="7" t="s">
        <v>439</v>
      </c>
      <c r="D288" s="8"/>
      <c r="E288" s="9">
        <v>1</v>
      </c>
      <c r="F288" s="11">
        <v>1</v>
      </c>
    </row>
    <row r="289" spans="1:6" ht="12" customHeight="1" x14ac:dyDescent="0.2">
      <c r="A289" s="11">
        <v>255</v>
      </c>
      <c r="B289" s="1" t="s">
        <v>440</v>
      </c>
      <c r="C289" s="7" t="s">
        <v>441</v>
      </c>
      <c r="D289" s="8"/>
      <c r="E289" s="9">
        <v>1</v>
      </c>
      <c r="F289" s="11">
        <v>1</v>
      </c>
    </row>
    <row r="290" spans="1:6" ht="12" customHeight="1" x14ac:dyDescent="0.2">
      <c r="A290" s="11">
        <v>256</v>
      </c>
      <c r="B290" s="1" t="s">
        <v>442</v>
      </c>
      <c r="C290" s="7" t="s">
        <v>443</v>
      </c>
      <c r="D290" s="8"/>
      <c r="E290" s="9">
        <v>1</v>
      </c>
      <c r="F290" s="11">
        <v>1</v>
      </c>
    </row>
    <row r="291" spans="1:6" ht="12" customHeight="1" x14ac:dyDescent="0.2">
      <c r="A291" s="11">
        <v>257</v>
      </c>
      <c r="B291" s="1" t="s">
        <v>444</v>
      </c>
      <c r="C291" s="7" t="s">
        <v>445</v>
      </c>
      <c r="D291" s="8"/>
      <c r="E291" s="9">
        <v>1</v>
      </c>
      <c r="F291" s="11">
        <v>1</v>
      </c>
    </row>
    <row r="292" spans="1:6" ht="12" customHeight="1" x14ac:dyDescent="0.2">
      <c r="A292" s="11">
        <v>258</v>
      </c>
      <c r="B292" s="6">
        <v>393100240060</v>
      </c>
      <c r="C292" s="7" t="s">
        <v>446</v>
      </c>
      <c r="D292" s="8"/>
      <c r="E292" s="9">
        <v>1</v>
      </c>
      <c r="F292" s="11">
        <v>2</v>
      </c>
    </row>
    <row r="293" spans="1:6" ht="12" customHeight="1" x14ac:dyDescent="0.2">
      <c r="A293" s="11">
        <v>259</v>
      </c>
      <c r="B293" s="6">
        <v>553490240040</v>
      </c>
      <c r="C293" s="7" t="s">
        <v>447</v>
      </c>
      <c r="D293" s="8"/>
      <c r="E293" s="9">
        <v>1</v>
      </c>
      <c r="F293" s="11">
        <v>1</v>
      </c>
    </row>
    <row r="294" spans="1:6" ht="12" customHeight="1" x14ac:dyDescent="0.2">
      <c r="A294" s="11">
        <v>260</v>
      </c>
      <c r="B294" s="1" t="s">
        <v>448</v>
      </c>
      <c r="C294" s="7" t="s">
        <v>449</v>
      </c>
      <c r="D294" s="8"/>
      <c r="E294" s="9">
        <v>1</v>
      </c>
      <c r="F294" s="11">
        <v>1</v>
      </c>
    </row>
    <row r="295" spans="1:6" ht="12" customHeight="1" x14ac:dyDescent="0.2">
      <c r="A295" s="11">
        <v>261</v>
      </c>
      <c r="B295" s="1" t="s">
        <v>450</v>
      </c>
      <c r="C295" s="7" t="s">
        <v>451</v>
      </c>
      <c r="D295" s="8"/>
      <c r="E295" s="9">
        <v>1</v>
      </c>
      <c r="F295" s="11">
        <v>1</v>
      </c>
    </row>
    <row r="296" spans="1:6" ht="12" customHeight="1" x14ac:dyDescent="0.2">
      <c r="A296" s="11">
        <v>262</v>
      </c>
      <c r="B296" s="1" t="s">
        <v>452</v>
      </c>
      <c r="C296" s="7" t="s">
        <v>453</v>
      </c>
      <c r="D296" s="8"/>
      <c r="E296" s="9">
        <v>1</v>
      </c>
      <c r="F296" s="11">
        <v>1</v>
      </c>
    </row>
    <row r="297" spans="1:6" ht="12" customHeight="1" x14ac:dyDescent="0.2">
      <c r="A297" s="11">
        <v>263</v>
      </c>
      <c r="B297" s="1" t="s">
        <v>454</v>
      </c>
      <c r="C297" s="7" t="s">
        <v>455</v>
      </c>
      <c r="D297" s="8"/>
      <c r="E297" s="9">
        <v>1</v>
      </c>
      <c r="F297" s="11">
        <v>1</v>
      </c>
    </row>
    <row r="298" spans="1:6" ht="12" customHeight="1" x14ac:dyDescent="0.2">
      <c r="A298" s="11">
        <v>264</v>
      </c>
      <c r="B298" s="1" t="s">
        <v>456</v>
      </c>
      <c r="C298" s="7" t="s">
        <v>457</v>
      </c>
      <c r="D298" s="8"/>
      <c r="E298" s="9">
        <v>1</v>
      </c>
      <c r="F298" s="11">
        <v>1</v>
      </c>
    </row>
    <row r="299" spans="1:6" ht="12" customHeight="1" x14ac:dyDescent="0.2">
      <c r="A299" s="11">
        <v>304</v>
      </c>
      <c r="B299" s="1" t="s">
        <v>458</v>
      </c>
      <c r="C299" s="7" t="s">
        <v>459</v>
      </c>
      <c r="D299" s="8"/>
      <c r="E299" s="9">
        <v>0</v>
      </c>
      <c r="F299" s="11">
        <v>0</v>
      </c>
    </row>
    <row r="300" spans="1:6" ht="12" customHeight="1" x14ac:dyDescent="0.2">
      <c r="A300" s="11">
        <v>305</v>
      </c>
      <c r="B300" s="1" t="s">
        <v>460</v>
      </c>
      <c r="C300" s="7" t="s">
        <v>461</v>
      </c>
      <c r="D300" s="8"/>
      <c r="E300" s="9">
        <v>0</v>
      </c>
      <c r="F300" s="11">
        <v>0</v>
      </c>
    </row>
    <row r="301" spans="1:6" ht="13.9" customHeight="1" x14ac:dyDescent="0.2">
      <c r="A301" s="11">
        <v>365</v>
      </c>
      <c r="B301" s="1" t="s">
        <v>462</v>
      </c>
      <c r="C301" s="7" t="s">
        <v>463</v>
      </c>
      <c r="D301" s="8"/>
      <c r="E301" s="9">
        <v>1</v>
      </c>
      <c r="F301" s="11">
        <v>1</v>
      </c>
    </row>
    <row r="302" spans="1:6" ht="12" customHeight="1" x14ac:dyDescent="0.2">
      <c r="A302" s="30" t="s">
        <v>13</v>
      </c>
      <c r="B302" s="31"/>
      <c r="C302" s="31"/>
      <c r="D302" s="31"/>
      <c r="E302" s="31"/>
      <c r="F302" s="32">
        <f>SUM(F284:F301)</f>
        <v>17</v>
      </c>
    </row>
    <row r="303" spans="1:6" ht="12" customHeight="1" x14ac:dyDescent="0.2">
      <c r="A303" s="25" t="s">
        <v>464</v>
      </c>
      <c r="B303" s="25"/>
      <c r="C303" s="25"/>
      <c r="D303" s="25"/>
      <c r="E303" s="25"/>
      <c r="F303" s="25"/>
    </row>
    <row r="304" spans="1:6" ht="13.15" customHeight="1" x14ac:dyDescent="0.2">
      <c r="A304" s="11">
        <v>300</v>
      </c>
      <c r="B304" s="1" t="s">
        <v>465</v>
      </c>
      <c r="C304" s="7" t="s">
        <v>465</v>
      </c>
      <c r="D304" s="7" t="s">
        <v>12</v>
      </c>
      <c r="E304" s="9">
        <v>0</v>
      </c>
      <c r="F304" s="11">
        <v>1</v>
      </c>
    </row>
    <row r="305" spans="1:8" ht="12" customHeight="1" x14ac:dyDescent="0.2">
      <c r="A305" s="11">
        <v>2</v>
      </c>
      <c r="B305" s="1" t="s">
        <v>466</v>
      </c>
      <c r="C305" s="7" t="s">
        <v>467</v>
      </c>
      <c r="D305" s="7" t="s">
        <v>87</v>
      </c>
      <c r="E305" s="9">
        <v>3</v>
      </c>
      <c r="F305" s="11">
        <v>4</v>
      </c>
    </row>
    <row r="306" spans="1:8" ht="12" customHeight="1" x14ac:dyDescent="0.2">
      <c r="A306" s="11">
        <v>306</v>
      </c>
      <c r="B306" s="1" t="s">
        <v>468</v>
      </c>
      <c r="C306" s="7" t="s">
        <v>469</v>
      </c>
      <c r="D306" s="8"/>
      <c r="E306" s="9">
        <v>0</v>
      </c>
      <c r="F306" s="11">
        <v>1</v>
      </c>
    </row>
    <row r="307" spans="1:8" ht="12" customHeight="1" x14ac:dyDescent="0.2">
      <c r="A307" s="12">
        <v>3.1</v>
      </c>
      <c r="B307" s="1" t="s">
        <v>470</v>
      </c>
      <c r="C307" s="7" t="s">
        <v>471</v>
      </c>
      <c r="D307" s="7" t="s">
        <v>87</v>
      </c>
      <c r="E307" s="9">
        <v>5</v>
      </c>
      <c r="F307" s="11">
        <v>5</v>
      </c>
    </row>
    <row r="308" spans="1:8" ht="12" customHeight="1" x14ac:dyDescent="0.2">
      <c r="A308" s="11">
        <v>301</v>
      </c>
      <c r="B308" s="1" t="s">
        <v>472</v>
      </c>
      <c r="C308" s="7" t="s">
        <v>472</v>
      </c>
      <c r="D308" s="8"/>
      <c r="E308" s="9">
        <v>0</v>
      </c>
      <c r="F308" s="11">
        <v>1</v>
      </c>
    </row>
    <row r="309" spans="1:8" ht="12" customHeight="1" x14ac:dyDescent="0.2">
      <c r="A309" s="11">
        <v>302</v>
      </c>
      <c r="B309" s="1" t="s">
        <v>473</v>
      </c>
      <c r="C309" s="7" t="s">
        <v>473</v>
      </c>
      <c r="D309" s="8"/>
      <c r="E309" s="9">
        <v>0</v>
      </c>
      <c r="F309" s="29">
        <v>0</v>
      </c>
    </row>
    <row r="310" spans="1:8" ht="12" customHeight="1" x14ac:dyDescent="0.2">
      <c r="A310" s="11">
        <v>3</v>
      </c>
      <c r="B310" s="1" t="s">
        <v>474</v>
      </c>
      <c r="C310" s="7" t="s">
        <v>475</v>
      </c>
      <c r="D310" s="7" t="s">
        <v>87</v>
      </c>
      <c r="E310" s="9">
        <v>5</v>
      </c>
      <c r="F310" s="11">
        <v>5</v>
      </c>
    </row>
    <row r="311" spans="1:8" ht="12" customHeight="1" x14ac:dyDescent="0.2">
      <c r="A311" s="12">
        <v>5.0999999999999996</v>
      </c>
      <c r="B311" s="1" t="s">
        <v>476</v>
      </c>
      <c r="C311" s="7" t="s">
        <v>477</v>
      </c>
      <c r="D311" s="7" t="s">
        <v>87</v>
      </c>
      <c r="E311" s="9">
        <v>1</v>
      </c>
      <c r="F311" s="11">
        <v>1</v>
      </c>
    </row>
    <row r="312" spans="1:8" ht="12" customHeight="1" x14ac:dyDescent="0.2">
      <c r="A312" s="12">
        <v>4.0999999999999996</v>
      </c>
      <c r="B312" s="1" t="s">
        <v>478</v>
      </c>
      <c r="C312" s="7" t="s">
        <v>479</v>
      </c>
      <c r="D312" s="8"/>
      <c r="E312" s="9">
        <v>3</v>
      </c>
      <c r="F312" s="11">
        <v>3</v>
      </c>
    </row>
    <row r="313" spans="1:8" ht="12" customHeight="1" x14ac:dyDescent="0.2">
      <c r="A313" s="12">
        <v>4.2</v>
      </c>
      <c r="B313" s="1" t="s">
        <v>480</v>
      </c>
      <c r="C313" s="7" t="s">
        <v>481</v>
      </c>
      <c r="D313" s="7" t="s">
        <v>87</v>
      </c>
      <c r="E313" s="9">
        <v>3</v>
      </c>
      <c r="F313" s="11">
        <v>3</v>
      </c>
    </row>
    <row r="314" spans="1:8" ht="12" customHeight="1" x14ac:dyDescent="0.2">
      <c r="A314" s="12">
        <v>4.0999999999999996</v>
      </c>
      <c r="B314" s="1" t="s">
        <v>482</v>
      </c>
      <c r="C314" s="7" t="s">
        <v>479</v>
      </c>
      <c r="D314" s="7" t="s">
        <v>87</v>
      </c>
      <c r="E314" s="9">
        <v>3</v>
      </c>
      <c r="F314" s="11">
        <v>0</v>
      </c>
    </row>
    <row r="315" spans="1:8" ht="13.9" customHeight="1" x14ac:dyDescent="0.2">
      <c r="A315" s="11">
        <v>5</v>
      </c>
      <c r="B315" s="1" t="s">
        <v>483</v>
      </c>
      <c r="C315" s="7" t="s">
        <v>484</v>
      </c>
      <c r="D315" s="7" t="s">
        <v>87</v>
      </c>
      <c r="E315" s="9">
        <v>1</v>
      </c>
      <c r="F315" s="11">
        <v>1</v>
      </c>
    </row>
    <row r="316" spans="1:8" ht="12" customHeight="1" x14ac:dyDescent="0.2">
      <c r="A316" s="30" t="s">
        <v>13</v>
      </c>
      <c r="B316" s="31"/>
      <c r="C316" s="31"/>
      <c r="D316" s="31"/>
      <c r="E316" s="31"/>
      <c r="F316" s="33">
        <f>SUM(F304:F315)</f>
        <v>25</v>
      </c>
    </row>
    <row r="317" spans="1:8" ht="113.25" customHeight="1" x14ac:dyDescent="0.2">
      <c r="A317" s="28" t="s">
        <v>485</v>
      </c>
      <c r="B317" s="28"/>
      <c r="C317" s="28"/>
      <c r="D317" s="28"/>
      <c r="E317" s="28"/>
      <c r="F317" s="28"/>
      <c r="G317" s="28"/>
      <c r="H317" s="28"/>
    </row>
  </sheetData>
  <mergeCells count="23">
    <mergeCell ref="A317:H317"/>
    <mergeCell ref="A139:F139"/>
    <mergeCell ref="A202:F202"/>
    <mergeCell ref="A236:F236"/>
    <mergeCell ref="A283:F283"/>
    <mergeCell ref="A303:F303"/>
    <mergeCell ref="A77:E77"/>
    <mergeCell ref="A78:F78"/>
    <mergeCell ref="A85:F85"/>
    <mergeCell ref="A107:F107"/>
    <mergeCell ref="A125:F125"/>
    <mergeCell ref="A32:E32"/>
    <mergeCell ref="A33:F33"/>
    <mergeCell ref="C71:F71"/>
    <mergeCell ref="A75:E75"/>
    <mergeCell ref="A76:E76"/>
    <mergeCell ref="A19:F19"/>
    <mergeCell ref="A31:E31"/>
    <mergeCell ref="A1:F1"/>
    <mergeCell ref="A2:F2"/>
    <mergeCell ref="A3:G3"/>
    <mergeCell ref="A5:F5"/>
    <mergeCell ref="A9:F9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Sage 200 Evolution</dc:creator>
  <cp:lastModifiedBy>Tumelo Mangole</cp:lastModifiedBy>
  <dcterms:created xsi:type="dcterms:W3CDTF">2025-12-02T11:56:13Z</dcterms:created>
  <dcterms:modified xsi:type="dcterms:W3CDTF">2026-01-22T10:16:20Z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2025-12-02T00:00:00Z</vt:filetime>
  </property>
  <property fmtid="{D5CDD505-2E9C-101B-9397-08002B2CF9AE}" pid="5" name="Producer">
    <vt:lpwstr>Microsoft® Excel® for Microsoft 365</vt:lpwstr>
  </property>
</Properties>
</file>