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092C7EB-BFDE-4416-A9CA-90AC185A2E9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Grass Cutting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2" l="1"/>
  <c r="D4" i="22"/>
  <c r="D3" i="22" s="1"/>
  <c r="C4" i="22"/>
</calcChain>
</file>

<file path=xl/sharedStrings.xml><?xml version="1.0" encoding="utf-8"?>
<sst xmlns="http://schemas.openxmlformats.org/spreadsheetml/2006/main" count="299" uniqueCount="226">
  <si>
    <t>Date</t>
  </si>
  <si>
    <t>Witkop</t>
  </si>
  <si>
    <t>WITKOP SOLAR FARM SITE LAYOUT</t>
  </si>
  <si>
    <t>M65                               CT17</t>
  </si>
  <si>
    <t>M67                              CT17</t>
  </si>
  <si>
    <t>road</t>
  </si>
  <si>
    <t>M69                                 CT18</t>
  </si>
  <si>
    <t>M66                                CT17</t>
  </si>
  <si>
    <t>M68                              CT17</t>
  </si>
  <si>
    <t>M70                            CT18</t>
  </si>
  <si>
    <t>M71                             CT18</t>
  </si>
  <si>
    <t>M72                              CT18</t>
  </si>
  <si>
    <t>M73                              CT19</t>
  </si>
  <si>
    <t>M74                             CT19</t>
  </si>
  <si>
    <t>M75                            CT19</t>
  </si>
  <si>
    <t>M05                                          CT02</t>
  </si>
  <si>
    <t xml:space="preserve">M07                                CT02 </t>
  </si>
  <si>
    <t>M78                               CT20</t>
  </si>
  <si>
    <t>M76                                CT18</t>
  </si>
  <si>
    <t>M01                           CT01</t>
  </si>
  <si>
    <t>M06                                      CT02</t>
  </si>
  <si>
    <t>M08                                                       CT02</t>
  </si>
  <si>
    <t>M79                                CT20</t>
  </si>
  <si>
    <t>M80                         CT20</t>
  </si>
  <si>
    <t>M02                                       CT01</t>
  </si>
  <si>
    <t>M03                                CT01</t>
  </si>
  <si>
    <t>M04                                         CT01</t>
  </si>
  <si>
    <t>M13                                 CT04</t>
  </si>
  <si>
    <t>M82                            CT21</t>
  </si>
  <si>
    <t>M81                                  CT20</t>
  </si>
  <si>
    <t>M09                                CT03</t>
  </si>
  <si>
    <t>M10                                   CT03</t>
  </si>
  <si>
    <t>M15                                   CT04</t>
  </si>
  <si>
    <t>M16                                    CT04</t>
  </si>
  <si>
    <t>M14                                CT04</t>
  </si>
  <si>
    <t>M83                          CT21</t>
  </si>
  <si>
    <t>M84                                CT21</t>
  </si>
  <si>
    <t>M11                                   CT03</t>
  </si>
  <si>
    <t>M23                                 CT06</t>
  </si>
  <si>
    <t>M25                              CT07</t>
  </si>
  <si>
    <t>M26                           CT07</t>
  </si>
  <si>
    <t>M86                         CT22</t>
  </si>
  <si>
    <t>M85                           CT21</t>
  </si>
  <si>
    <t>M17                                      CT05</t>
  </si>
  <si>
    <t>SITE OFFICE</t>
  </si>
  <si>
    <t>HALF HALF</t>
  </si>
  <si>
    <t>M87                          CT22</t>
  </si>
  <si>
    <t>M88                              CT22</t>
  </si>
  <si>
    <t>M19                               CT05</t>
  </si>
  <si>
    <t>M20                                CT5</t>
  </si>
  <si>
    <t>M18                                   CT05</t>
  </si>
  <si>
    <t>M33                                   CT09</t>
  </si>
  <si>
    <t>M35                                   CT09</t>
  </si>
  <si>
    <t>M37                                CT10</t>
  </si>
  <si>
    <t>M39                                  CT10</t>
  </si>
  <si>
    <t>M90                      CT23</t>
  </si>
  <si>
    <t>M89                              CT22</t>
  </si>
  <si>
    <t>M29                     CT08</t>
  </si>
  <si>
    <t>M30                                   CT08</t>
  </si>
  <si>
    <t>M31                                CT08</t>
  </si>
  <si>
    <t>M32                                  CT08</t>
  </si>
  <si>
    <t>M34                                   CT09</t>
  </si>
  <si>
    <t>M36                                   CT09</t>
  </si>
  <si>
    <t>M38                                CT10</t>
  </si>
  <si>
    <t>M40                               CT10</t>
  </si>
  <si>
    <t>M91                           CT23</t>
  </si>
  <si>
    <t>M93                                 CT23</t>
  </si>
  <si>
    <t>M41                          CT11</t>
  </si>
  <si>
    <t>M45                                 CT12</t>
  </si>
  <si>
    <t>M46                               CT12</t>
  </si>
  <si>
    <t>M49                                  CT13</t>
  </si>
  <si>
    <t>M51                                 CT13</t>
  </si>
  <si>
    <t>M53                                         CT14</t>
  </si>
  <si>
    <t>M55                                CT14</t>
  </si>
  <si>
    <t>M94                            CT23</t>
  </si>
  <si>
    <t>M42                               CT11</t>
  </si>
  <si>
    <t>M43                            CT11</t>
  </si>
  <si>
    <t>M47                          CT12</t>
  </si>
  <si>
    <t>M50                          CT13</t>
  </si>
  <si>
    <t>M54                               CT14</t>
  </si>
  <si>
    <t>M56                          CT14</t>
  </si>
  <si>
    <t>M95                             CT24</t>
  </si>
  <si>
    <t>M96                           CT24</t>
  </si>
  <si>
    <t>M44                                CT11</t>
  </si>
  <si>
    <t>M48                           CT12</t>
  </si>
  <si>
    <t>M59                                CT15</t>
  </si>
  <si>
    <t>M61                                  CT15</t>
  </si>
  <si>
    <t>M62                             CT16</t>
  </si>
  <si>
    <t>M98                            CTC24</t>
  </si>
  <si>
    <t>M97                         CT24</t>
  </si>
  <si>
    <t>M57                              CT15</t>
  </si>
  <si>
    <t xml:space="preserve">M58                           CT15 </t>
  </si>
  <si>
    <t xml:space="preserve">M60                              CT15 </t>
  </si>
  <si>
    <t>M63                                            CT16</t>
  </si>
  <si>
    <t>M64                             CT16</t>
  </si>
  <si>
    <t>M99                        CT24</t>
  </si>
  <si>
    <t>Mon</t>
  </si>
  <si>
    <t>Tue</t>
  </si>
  <si>
    <t>Wed</t>
  </si>
  <si>
    <t>Thu</t>
  </si>
  <si>
    <t>Fri</t>
  </si>
  <si>
    <t>Sat</t>
  </si>
  <si>
    <t>Sun</t>
  </si>
  <si>
    <t>Scheduled</t>
  </si>
  <si>
    <t>M12</t>
  </si>
  <si>
    <t>Done</t>
  </si>
  <si>
    <t>M77                                    CT19</t>
  </si>
  <si>
    <t>M55</t>
  </si>
  <si>
    <t>M40</t>
  </si>
  <si>
    <t>M38</t>
  </si>
  <si>
    <t>M06</t>
  </si>
  <si>
    <t>M03</t>
  </si>
  <si>
    <t>M14</t>
  </si>
  <si>
    <t>M09</t>
  </si>
  <si>
    <t>M21</t>
  </si>
  <si>
    <t>M26</t>
  </si>
  <si>
    <t>M33</t>
  </si>
  <si>
    <t>M39</t>
  </si>
  <si>
    <t>M17</t>
  </si>
  <si>
    <t>M20</t>
  </si>
  <si>
    <t>M31</t>
  </si>
  <si>
    <t>M36</t>
  </si>
  <si>
    <t>M51</t>
  </si>
  <si>
    <t>M45</t>
  </si>
  <si>
    <t>M41</t>
  </si>
  <si>
    <t>M47</t>
  </si>
  <si>
    <t>M54</t>
  </si>
  <si>
    <t>M48</t>
  </si>
  <si>
    <t>M44</t>
  </si>
  <si>
    <t>M60</t>
  </si>
  <si>
    <t>M65</t>
  </si>
  <si>
    <t>M66</t>
  </si>
  <si>
    <t>M71</t>
  </si>
  <si>
    <t>M05</t>
  </si>
  <si>
    <t>M01</t>
  </si>
  <si>
    <t>M04</t>
  </si>
  <si>
    <t>M15</t>
  </si>
  <si>
    <t>M10</t>
  </si>
  <si>
    <t>M23</t>
  </si>
  <si>
    <t>M27</t>
  </si>
  <si>
    <t>M22</t>
  </si>
  <si>
    <t>M35</t>
  </si>
  <si>
    <t>M18</t>
  </si>
  <si>
    <t>M29</t>
  </si>
  <si>
    <t>M32</t>
  </si>
  <si>
    <t>M53</t>
  </si>
  <si>
    <t>M46</t>
  </si>
  <si>
    <t>M42</t>
  </si>
  <si>
    <t>M50</t>
  </si>
  <si>
    <t>M56</t>
  </si>
  <si>
    <t>M59</t>
  </si>
  <si>
    <t>M57</t>
  </si>
  <si>
    <t>M63</t>
  </si>
  <si>
    <t>M67</t>
  </si>
  <si>
    <t>M69</t>
  </si>
  <si>
    <t>M72</t>
  </si>
  <si>
    <t>M07</t>
  </si>
  <si>
    <t>M02</t>
  </si>
  <si>
    <t>M13</t>
  </si>
  <si>
    <t>M16</t>
  </si>
  <si>
    <t>M11</t>
  </si>
  <si>
    <t>M25</t>
  </si>
  <si>
    <t>M28</t>
  </si>
  <si>
    <t>M24</t>
  </si>
  <si>
    <t>M37</t>
  </si>
  <si>
    <t>M19</t>
  </si>
  <si>
    <t>M30</t>
  </si>
  <si>
    <t>M34</t>
  </si>
  <si>
    <t>M49</t>
  </si>
  <si>
    <t>M43</t>
  </si>
  <si>
    <t>M52</t>
  </si>
  <si>
    <t>M62</t>
  </si>
  <si>
    <t>M61</t>
  </si>
  <si>
    <t>M58</t>
  </si>
  <si>
    <t>M64</t>
  </si>
  <si>
    <t>M68</t>
  </si>
  <si>
    <t>M70</t>
  </si>
  <si>
    <t>M73</t>
  </si>
  <si>
    <t>green is second half</t>
  </si>
  <si>
    <t>orange half</t>
  </si>
  <si>
    <t>blue full</t>
  </si>
  <si>
    <t>Comments:</t>
  </si>
  <si>
    <t>M22                                CT04</t>
  </si>
  <si>
    <t>M24                                CT05</t>
  </si>
  <si>
    <t>M12                               CT03</t>
  </si>
  <si>
    <t>M27                                CT06</t>
  </si>
  <si>
    <t>M28                               CT07</t>
  </si>
  <si>
    <t>M74</t>
  </si>
  <si>
    <t>M77</t>
  </si>
  <si>
    <t>M80</t>
  </si>
  <si>
    <t>M83</t>
  </si>
  <si>
    <t>M86</t>
  </si>
  <si>
    <t>M89</t>
  </si>
  <si>
    <t>M92</t>
  </si>
  <si>
    <t>M95</t>
  </si>
  <si>
    <t>M98</t>
  </si>
  <si>
    <t>M75</t>
  </si>
  <si>
    <t>M78</t>
  </si>
  <si>
    <t>M81</t>
  </si>
  <si>
    <t>M84</t>
  </si>
  <si>
    <t>M87</t>
  </si>
  <si>
    <t>M90</t>
  </si>
  <si>
    <t>M93</t>
  </si>
  <si>
    <t>M96</t>
  </si>
  <si>
    <t>M99</t>
  </si>
  <si>
    <t>M76</t>
  </si>
  <si>
    <t>M79</t>
  </si>
  <si>
    <t>M82</t>
  </si>
  <si>
    <t>M85</t>
  </si>
  <si>
    <t>M88</t>
  </si>
  <si>
    <t>M91</t>
  </si>
  <si>
    <t>M94</t>
  </si>
  <si>
    <t>M97</t>
  </si>
  <si>
    <t>M08</t>
  </si>
  <si>
    <t>M92                        CT23</t>
  </si>
  <si>
    <t>M52                            CT13</t>
  </si>
  <si>
    <t>Comments</t>
  </si>
  <si>
    <t>Round 1</t>
  </si>
  <si>
    <t>M21                                  CT04</t>
  </si>
  <si>
    <t>V-drain CT5-CT7 and the gate</t>
  </si>
  <si>
    <t>07/01/2026</t>
  </si>
  <si>
    <t>M12, M22, M24 brush cutters</t>
  </si>
  <si>
    <t>08/01.2026</t>
  </si>
  <si>
    <t>06/01/2026</t>
  </si>
  <si>
    <t>M27, M28</t>
  </si>
  <si>
    <t>brush cutters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</si>
</sst>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&quot;#,##0;[Red]\-&quot;R&quot;#,##0"/>
    <numFmt numFmtId="165" formatCode="_-* #,##0.00_-;\-* #,##0.00_-;_-* &quot;-&quot;??_-;_-@_-"/>
    <numFmt numFmtId="166" formatCode="_([$€]* #,##0.00_);_([$€]* \(#,##0.00\);_([$€]* &quot;-&quot;??_);_(@_)"/>
    <numFmt numFmtId="167" formatCode="0.0%"/>
    <numFmt numFmtId="172" formatCode="[$-409]d\-mmm;@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2">
    <xf numFmtId="0" fontId="0" fillId="0" borderId="0"/>
    <xf numFmtId="166" fontId="1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3" fillId="0" borderId="16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9" borderId="17" applyNumberFormat="0" applyAlignment="0" applyProtection="0"/>
    <xf numFmtId="0" fontId="17" fillId="10" borderId="18" applyNumberFormat="0" applyAlignment="0" applyProtection="0"/>
    <xf numFmtId="0" fontId="18" fillId="10" borderId="17" applyNumberFormat="0" applyAlignment="0" applyProtection="0"/>
    <xf numFmtId="0" fontId="19" fillId="0" borderId="19" applyNumberFormat="0" applyFill="0" applyAlignment="0" applyProtection="0"/>
    <xf numFmtId="0" fontId="8" fillId="11" borderId="20" applyNumberFormat="0" applyAlignment="0" applyProtection="0"/>
    <xf numFmtId="0" fontId="7" fillId="0" borderId="0" applyNumberFormat="0" applyFill="0" applyBorder="0" applyAlignment="0" applyProtection="0"/>
    <xf numFmtId="0" fontId="2" fillId="12" borderId="21" applyNumberFormat="0" applyFont="0" applyAlignment="0" applyProtection="0"/>
    <xf numFmtId="0" fontId="20" fillId="0" borderId="0" applyNumberFormat="0" applyFill="0" applyBorder="0" applyAlignment="0" applyProtection="0"/>
    <xf numFmtId="0" fontId="5" fillId="0" borderId="22" applyNumberFormat="0" applyFill="0" applyAlignment="0" applyProtection="0"/>
    <xf numFmtId="0" fontId="3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36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7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22">
    <xf numFmtId="0" fontId="0" fillId="0" borderId="0" xfId="0"/>
    <xf numFmtId="0" fontId="0" fillId="2" borderId="0" xfId="0" applyFill="1"/>
    <xf numFmtId="0" fontId="0" fillId="0" borderId="1" xfId="0" applyBorder="1"/>
    <xf numFmtId="0" fontId="6" fillId="0" borderId="0" xfId="0" applyFont="1"/>
    <xf numFmtId="0" fontId="5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/>
    <xf numFmtId="0" fontId="0" fillId="0" borderId="27" xfId="0" applyBorder="1"/>
    <xf numFmtId="0" fontId="0" fillId="0" borderId="6" xfId="0" applyBorder="1"/>
    <xf numFmtId="0" fontId="0" fillId="0" borderId="9" xfId="0" applyBorder="1"/>
    <xf numFmtId="0" fontId="0" fillId="0" borderId="24" xfId="0" applyBorder="1"/>
    <xf numFmtId="0" fontId="2" fillId="0" borderId="0" xfId="0" applyFont="1" applyAlignment="1">
      <alignment vertical="center"/>
    </xf>
    <xf numFmtId="172" fontId="25" fillId="37" borderId="1" xfId="0" applyNumberFormat="1" applyFont="1" applyFill="1" applyBorder="1" applyAlignment="1">
      <alignment horizontal="center" vertical="center" textRotation="45"/>
    </xf>
    <xf numFmtId="0" fontId="2" fillId="0" borderId="25" xfId="0" applyFont="1" applyBorder="1" applyAlignment="1">
      <alignment vertical="center"/>
    </xf>
    <xf numFmtId="172" fontId="25" fillId="38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8" fillId="38" borderId="8" xfId="0" applyFont="1" applyFill="1" applyBorder="1" applyAlignment="1">
      <alignment horizontal="center" vertical="center"/>
    </xf>
    <xf numFmtId="0" fontId="6" fillId="0" borderId="7" xfId="0" applyFont="1" applyBorder="1"/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/>
    <xf numFmtId="0" fontId="6" fillId="0" borderId="8" xfId="0" applyFont="1" applyBorder="1" applyAlignment="1">
      <alignment vertical="center" textRotation="90"/>
    </xf>
    <xf numFmtId="0" fontId="6" fillId="0" borderId="8" xfId="0" applyFont="1" applyBorder="1" applyAlignment="1">
      <alignment vertical="center" wrapText="1"/>
    </xf>
    <xf numFmtId="0" fontId="6" fillId="0" borderId="8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/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 textRotation="90"/>
    </xf>
    <xf numFmtId="0" fontId="6" fillId="0" borderId="13" xfId="0" applyFont="1" applyBorder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2" fillId="0" borderId="1" xfId="0" applyFont="1" applyBorder="1"/>
    <xf numFmtId="0" fontId="6" fillId="3" borderId="1" xfId="0" applyFont="1" applyFill="1" applyBorder="1"/>
    <xf numFmtId="0" fontId="0" fillId="4" borderId="1" xfId="0" applyFill="1" applyBorder="1"/>
    <xf numFmtId="0" fontId="0" fillId="39" borderId="1" xfId="0" applyFill="1" applyBorder="1"/>
    <xf numFmtId="167" fontId="2" fillId="0" borderId="0" xfId="0" applyNumberFormat="1" applyFont="1"/>
    <xf numFmtId="16" fontId="0" fillId="0" borderId="0" xfId="0" applyNumberFormat="1" applyAlignment="1">
      <alignment horizontal="left"/>
    </xf>
    <xf numFmtId="0" fontId="6" fillId="0" borderId="10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23" xfId="0" applyFont="1" applyBorder="1" applyAlignment="1">
      <alignment horizontal="center" vertical="center"/>
    </xf>
    <xf numFmtId="0" fontId="0" fillId="5" borderId="0" xfId="0" applyFill="1"/>
    <xf numFmtId="0" fontId="0" fillId="0" borderId="7" xfId="0" applyBorder="1"/>
    <xf numFmtId="0" fontId="0" fillId="5" borderId="13" xfId="0" applyFill="1" applyBorder="1"/>
    <xf numFmtId="0" fontId="6" fillId="2" borderId="7" xfId="0" applyFont="1" applyFill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0" fillId="0" borderId="8" xfId="0" applyBorder="1"/>
    <xf numFmtId="0" fontId="24" fillId="0" borderId="0" xfId="0" applyFont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26" fillId="0" borderId="9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24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4" xfId="0" applyBorder="1" applyAlignment="1">
      <alignment horizontal="left"/>
    </xf>
    <xf numFmtId="0" fontId="9" fillId="37" borderId="7" xfId="0" applyFont="1" applyFill="1" applyBorder="1" applyAlignment="1">
      <alignment horizontal="left" vertical="center"/>
    </xf>
    <xf numFmtId="0" fontId="9" fillId="37" borderId="8" xfId="0" applyFont="1" applyFill="1" applyBorder="1" applyAlignment="1">
      <alignment horizontal="left" vertical="center"/>
    </xf>
    <xf numFmtId="0" fontId="9" fillId="37" borderId="13" xfId="0" applyFont="1" applyFill="1" applyBorder="1" applyAlignment="1">
      <alignment horizontal="left" vertical="center"/>
    </xf>
    <xf numFmtId="0" fontId="8" fillId="38" borderId="7" xfId="0" applyFont="1" applyFill="1" applyBorder="1" applyAlignment="1">
      <alignment horizontal="center" vertical="center"/>
    </xf>
    <xf numFmtId="0" fontId="8" fillId="38" borderId="8" xfId="0" applyFont="1" applyFill="1" applyBorder="1" applyAlignment="1">
      <alignment horizontal="center" vertical="center"/>
    </xf>
    <xf numFmtId="0" fontId="8" fillId="38" borderId="13" xfId="0" applyFont="1" applyFill="1" applyBorder="1" applyAlignment="1">
      <alignment horizontal="center" vertical="center"/>
    </xf>
    <xf numFmtId="167" fontId="8" fillId="38" borderId="7" xfId="3" applyNumberFormat="1" applyFont="1" applyFill="1" applyBorder="1" applyAlignment="1">
      <alignment horizontal="center" vertical="center"/>
    </xf>
    <xf numFmtId="167" fontId="8" fillId="38" borderId="8" xfId="3" applyNumberFormat="1" applyFont="1" applyFill="1" applyBorder="1" applyAlignment="1">
      <alignment horizontal="center" vertical="center"/>
    </xf>
    <xf numFmtId="167" fontId="8" fillId="38" borderId="13" xfId="3" applyNumberFormat="1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0" fillId="0" borderId="9" xfId="0" applyBorder="1"/>
    <xf numFmtId="0" fontId="0" fillId="0" borderId="0" xfId="0"/>
    <xf numFmtId="0" fontId="0" fillId="0" borderId="24" xfId="0" applyBorder="1"/>
    <xf numFmtId="164" fontId="0" fillId="2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24" xfId="0" applyFont="1" applyBorder="1" applyAlignment="1">
      <alignment horizontal="left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</cellXfs>
  <cellStyles count="62">
    <cellStyle name="20% - Accent1" xfId="20" builtinId="30" customBuiltin="1"/>
    <cellStyle name="20% - Accent2" xfId="23" builtinId="34" customBuiltin="1"/>
    <cellStyle name="20% - Accent3" xfId="26" builtinId="38" customBuiltin="1"/>
    <cellStyle name="20% - Accent4" xfId="29" builtinId="42" customBuiltin="1"/>
    <cellStyle name="20% - Accent5" xfId="32" builtinId="46" customBuiltin="1"/>
    <cellStyle name="20% - Accent6" xfId="35" builtinId="50" customBuiltin="1"/>
    <cellStyle name="40% - Accent1" xfId="21" builtinId="31" customBuiltin="1"/>
    <cellStyle name="40% - Accent2" xfId="24" builtinId="35" customBuiltin="1"/>
    <cellStyle name="40% - Accent3" xfId="27" builtinId="39" customBuiltin="1"/>
    <cellStyle name="40% - Accent4" xfId="30" builtinId="43" customBuiltin="1"/>
    <cellStyle name="40% - Accent5" xfId="33" builtinId="47" customBuiltin="1"/>
    <cellStyle name="40% - Accent6" xfId="36" builtinId="51" customBuiltin="1"/>
    <cellStyle name="60% - Accent1 2" xfId="39" xr:uid="{00000000-0005-0000-0000-00000C000000}"/>
    <cellStyle name="60% - Accent2 2" xfId="40" xr:uid="{00000000-0005-0000-0000-00000D000000}"/>
    <cellStyle name="60% - Accent3 2" xfId="41" xr:uid="{00000000-0005-0000-0000-00000E000000}"/>
    <cellStyle name="60% - Accent4 2" xfId="42" xr:uid="{00000000-0005-0000-0000-00000F000000}"/>
    <cellStyle name="60% - Accent5 2" xfId="43" xr:uid="{00000000-0005-0000-0000-000010000000}"/>
    <cellStyle name="60% - Accent6 2" xfId="44" xr:uid="{00000000-0005-0000-0000-000011000000}"/>
    <cellStyle name="Accent1" xfId="19" builtinId="29" customBuiltin="1"/>
    <cellStyle name="Accent2" xfId="22" builtinId="33" customBuiltin="1"/>
    <cellStyle name="Accent3" xfId="25" builtinId="37" customBuiltin="1"/>
    <cellStyle name="Accent4" xfId="28" builtinId="41" customBuiltin="1"/>
    <cellStyle name="Accent5" xfId="31" builtinId="45" customBuiltin="1"/>
    <cellStyle name="Accent6" xfId="34" builtinId="49" customBuiltin="1"/>
    <cellStyle name="Bad" xfId="9" builtinId="27" customBuiltin="1"/>
    <cellStyle name="Calculation" xfId="12" builtinId="22" customBuiltin="1"/>
    <cellStyle name="Check Cell" xfId="14" builtinId="23" customBuiltin="1"/>
    <cellStyle name="Comma 2" xfId="45" xr:uid="{00000000-0005-0000-0000-00001C000000}"/>
    <cellStyle name="Comma 2 2" xfId="46" xr:uid="{00000000-0005-0000-0000-00001D000000}"/>
    <cellStyle name="Comma 2 2 2" xfId="48" xr:uid="{00000000-0005-0000-0000-00001E000000}"/>
    <cellStyle name="Comma 2 2 2 2" xfId="52" xr:uid="{00000000-0005-0000-0000-00001F000000}"/>
    <cellStyle name="Comma 2 2 2 2 2" xfId="61" xr:uid="{00000000-0005-0000-0000-000020000000}"/>
    <cellStyle name="Comma 2 2 2 3" xfId="57" xr:uid="{00000000-0005-0000-0000-000021000000}"/>
    <cellStyle name="Comma 2 2 3" xfId="50" xr:uid="{00000000-0005-0000-0000-000022000000}"/>
    <cellStyle name="Comma 2 2 3 2" xfId="59" xr:uid="{00000000-0005-0000-0000-000023000000}"/>
    <cellStyle name="Comma 2 2 4" xfId="55" xr:uid="{00000000-0005-0000-0000-000024000000}"/>
    <cellStyle name="Comma 2 3" xfId="47" xr:uid="{00000000-0005-0000-0000-000025000000}"/>
    <cellStyle name="Comma 2 3 2" xfId="51" xr:uid="{00000000-0005-0000-0000-000026000000}"/>
    <cellStyle name="Comma 2 3 2 2" xfId="60" xr:uid="{00000000-0005-0000-0000-000027000000}"/>
    <cellStyle name="Comma 2 3 3" xfId="56" xr:uid="{00000000-0005-0000-0000-000028000000}"/>
    <cellStyle name="Comma 2 4" xfId="49" xr:uid="{00000000-0005-0000-0000-000029000000}"/>
    <cellStyle name="Comma 2 4 2" xfId="58" xr:uid="{00000000-0005-0000-0000-00002A000000}"/>
    <cellStyle name="Comma 2 5" xfId="54" xr:uid="{00000000-0005-0000-0000-00002B000000}"/>
    <cellStyle name="Euro" xfId="1" xr:uid="{00000000-0005-0000-0000-00002C000000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0" builtinId="20" customBuiltin="1"/>
    <cellStyle name="Linked Cell" xfId="13" builtinId="24" customBuiltin="1"/>
    <cellStyle name="Neutral 2" xfId="38" xr:uid="{00000000-0005-0000-0000-000035000000}"/>
    <cellStyle name="Normal" xfId="0" builtinId="0"/>
    <cellStyle name="Normal 2" xfId="2" xr:uid="{00000000-0005-0000-0000-000037000000}"/>
    <cellStyle name="Normal 3" xfId="53" xr:uid="{00000000-0005-0000-0000-000038000000}"/>
    <cellStyle name="Note" xfId="16" builtinId="10" customBuiltin="1"/>
    <cellStyle name="Output" xfId="11" builtinId="21" customBuiltin="1"/>
    <cellStyle name="Percent" xfId="3" builtinId="5"/>
    <cellStyle name="Title 2" xfId="37" xr:uid="{00000000-0005-0000-0000-00003C000000}"/>
    <cellStyle name="Total" xfId="18" builtinId="25" customBuiltin="1"/>
    <cellStyle name="Warning Text" xfId="15" builtinId="11" customBuiltin="1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0</xdr:row>
      <xdr:rowOff>0</xdr:rowOff>
    </xdr:from>
    <xdr:to>
      <xdr:col>3</xdr:col>
      <xdr:colOff>332014</xdr:colOff>
      <xdr:row>0</xdr:row>
      <xdr:rowOff>502648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0BD0C5-DC31-4794-B137-EEE585A35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0"/>
          <a:ext cx="2107474" cy="5026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381000</xdr:colOff>
      <xdr:row>0</xdr:row>
      <xdr:rowOff>0</xdr:rowOff>
    </xdr:from>
    <xdr:to>
      <xdr:col>3</xdr:col>
      <xdr:colOff>332014</xdr:colOff>
      <xdr:row>0</xdr:row>
      <xdr:rowOff>502648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2E36078D-AFED-47C2-819C-232B0A2BE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0"/>
          <a:ext cx="2107474" cy="5026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381000</xdr:colOff>
      <xdr:row>0</xdr:row>
      <xdr:rowOff>0</xdr:rowOff>
    </xdr:from>
    <xdr:to>
      <xdr:col>3</xdr:col>
      <xdr:colOff>332014</xdr:colOff>
      <xdr:row>0</xdr:row>
      <xdr:rowOff>502648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351395-FC0A-4A34-9A17-AAAE03333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0"/>
          <a:ext cx="2099854" cy="5026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381000</xdr:colOff>
      <xdr:row>0</xdr:row>
      <xdr:rowOff>0</xdr:rowOff>
    </xdr:from>
    <xdr:to>
      <xdr:col>3</xdr:col>
      <xdr:colOff>332014</xdr:colOff>
      <xdr:row>0</xdr:row>
      <xdr:rowOff>502648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6D0DBCF0-C72B-4C71-824E-83B4DE31C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0"/>
          <a:ext cx="2099854" cy="5026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P120"/>
  <sheetViews>
    <sheetView tabSelected="1" topLeftCell="A20" zoomScale="55" zoomScaleNormal="55" workbookViewId="0">
      <selection activeCell="H11" sqref="H11"/>
    </sheetView>
  </sheetViews>
  <sheetFormatPr defaultColWidth="6.28515625" defaultRowHeight="12" customHeight="1" x14ac:dyDescent="0.25"/>
  <cols>
    <col min="1" max="1" width="11.7109375" style="38" customWidth="1"/>
    <col min="2" max="2" width="13" customWidth="1"/>
    <col min="3" max="3" width="8.140625" customWidth="1"/>
    <col min="4" max="4" width="11.7109375" customWidth="1"/>
    <col min="5" max="5" width="6.7109375" customWidth="1"/>
    <col min="15" max="15" width="8.7109375" bestFit="1" customWidth="1"/>
    <col min="29" max="29" width="6.85546875" customWidth="1"/>
  </cols>
  <sheetData>
    <row r="1" spans="1:146" ht="40.5" customHeight="1" x14ac:dyDescent="0.25">
      <c r="A1" s="41"/>
      <c r="B1" s="15"/>
      <c r="E1" s="16">
        <v>46027</v>
      </c>
      <c r="F1" s="16">
        <v>46028</v>
      </c>
      <c r="G1" s="16">
        <v>46029</v>
      </c>
      <c r="H1" s="16">
        <v>46030</v>
      </c>
      <c r="I1" s="16">
        <v>46031</v>
      </c>
      <c r="J1" s="16">
        <v>46032</v>
      </c>
      <c r="K1" s="16">
        <v>46033</v>
      </c>
      <c r="L1" s="16">
        <v>46034</v>
      </c>
      <c r="M1" s="16">
        <v>46035</v>
      </c>
      <c r="N1" s="16">
        <v>46036</v>
      </c>
      <c r="O1" s="16">
        <v>46037</v>
      </c>
      <c r="P1" s="16">
        <v>46038</v>
      </c>
      <c r="Q1" s="16">
        <v>46039</v>
      </c>
      <c r="R1" s="16">
        <v>46040</v>
      </c>
      <c r="S1" s="16">
        <v>46041</v>
      </c>
      <c r="T1" s="16">
        <v>46042</v>
      </c>
      <c r="U1" s="16">
        <v>46043</v>
      </c>
      <c r="V1" s="16">
        <v>46044</v>
      </c>
      <c r="W1" s="16">
        <v>46045</v>
      </c>
      <c r="X1" s="16">
        <v>46046</v>
      </c>
      <c r="Y1" s="16">
        <v>46047</v>
      </c>
      <c r="Z1" s="16">
        <v>46048</v>
      </c>
      <c r="AA1" s="16">
        <v>46049</v>
      </c>
      <c r="AB1" s="16">
        <v>46050</v>
      </c>
      <c r="AC1" s="16">
        <v>46051</v>
      </c>
      <c r="AD1" s="16">
        <v>46052</v>
      </c>
      <c r="AE1" s="16">
        <v>46053</v>
      </c>
      <c r="AF1" s="16">
        <v>46054</v>
      </c>
      <c r="AG1" s="16">
        <v>46055</v>
      </c>
      <c r="AH1" s="16">
        <v>46056</v>
      </c>
      <c r="AI1" s="16">
        <v>46057</v>
      </c>
      <c r="AJ1" s="16">
        <v>46058</v>
      </c>
      <c r="AK1" s="16">
        <v>46059</v>
      </c>
      <c r="AL1" s="16">
        <v>46060</v>
      </c>
      <c r="AM1" s="16">
        <v>46061</v>
      </c>
      <c r="AN1" s="16">
        <v>46062</v>
      </c>
      <c r="AO1" s="16">
        <v>46063</v>
      </c>
      <c r="AP1" s="16">
        <v>46064</v>
      </c>
      <c r="AQ1" s="16">
        <v>46065</v>
      </c>
      <c r="AR1" s="16">
        <v>46066</v>
      </c>
      <c r="AS1" s="16">
        <v>46067</v>
      </c>
      <c r="AT1" s="16">
        <v>46068</v>
      </c>
      <c r="AU1" s="16">
        <v>46069</v>
      </c>
      <c r="AV1" s="16">
        <v>46070</v>
      </c>
      <c r="AW1" s="16">
        <v>46071</v>
      </c>
      <c r="AX1" s="16">
        <v>46072</v>
      </c>
      <c r="AY1" s="16">
        <v>46073</v>
      </c>
      <c r="AZ1" s="16">
        <v>46025</v>
      </c>
      <c r="BA1" s="16">
        <v>46026</v>
      </c>
      <c r="BB1" s="16">
        <v>46027</v>
      </c>
      <c r="BC1" s="16">
        <v>46028</v>
      </c>
      <c r="BD1" s="16">
        <v>46029</v>
      </c>
      <c r="BE1" s="16">
        <v>46030</v>
      </c>
      <c r="BF1" s="16">
        <v>46031</v>
      </c>
      <c r="BG1" s="16">
        <v>46032</v>
      </c>
      <c r="BH1" s="16">
        <v>46033</v>
      </c>
      <c r="BI1" s="16">
        <v>46034</v>
      </c>
      <c r="BJ1" s="16">
        <v>46035</v>
      </c>
      <c r="BK1" s="16">
        <v>46036</v>
      </c>
      <c r="BL1" s="16">
        <v>46037</v>
      </c>
      <c r="BM1" s="16">
        <v>46038</v>
      </c>
      <c r="BN1" s="16">
        <v>46039</v>
      </c>
      <c r="BO1" s="16">
        <v>46040</v>
      </c>
      <c r="BP1" s="16">
        <v>46041</v>
      </c>
      <c r="BQ1" s="16">
        <v>46042</v>
      </c>
      <c r="BR1" s="16">
        <v>46043</v>
      </c>
      <c r="BS1" s="16">
        <v>46044</v>
      </c>
      <c r="BT1" s="16">
        <v>46045</v>
      </c>
      <c r="BU1" s="16">
        <v>46046</v>
      </c>
    </row>
    <row r="2" spans="1:146" ht="12" customHeight="1" x14ac:dyDescent="0.25">
      <c r="A2" s="41"/>
      <c r="B2" s="15"/>
      <c r="C2" s="15"/>
      <c r="D2" s="17"/>
      <c r="E2" s="18" t="s">
        <v>96</v>
      </c>
      <c r="F2" s="18" t="s">
        <v>97</v>
      </c>
      <c r="G2" s="18" t="s">
        <v>98</v>
      </c>
      <c r="H2" s="18" t="s">
        <v>99</v>
      </c>
      <c r="I2" s="18" t="s">
        <v>100</v>
      </c>
      <c r="J2" s="18" t="s">
        <v>101</v>
      </c>
      <c r="K2" s="18" t="s">
        <v>102</v>
      </c>
      <c r="L2" s="18" t="s">
        <v>96</v>
      </c>
      <c r="M2" s="18" t="s">
        <v>97</v>
      </c>
      <c r="N2" s="18" t="s">
        <v>98</v>
      </c>
      <c r="O2" s="18" t="s">
        <v>99</v>
      </c>
      <c r="P2" s="18" t="s">
        <v>100</v>
      </c>
      <c r="Q2" s="18" t="s">
        <v>101</v>
      </c>
      <c r="R2" s="18" t="s">
        <v>102</v>
      </c>
      <c r="S2" s="18" t="s">
        <v>96</v>
      </c>
      <c r="T2" s="18" t="s">
        <v>97</v>
      </c>
      <c r="U2" s="18" t="s">
        <v>98</v>
      </c>
      <c r="V2" s="18" t="s">
        <v>99</v>
      </c>
      <c r="W2" s="18" t="s">
        <v>100</v>
      </c>
      <c r="X2" s="18" t="s">
        <v>101</v>
      </c>
      <c r="Y2" s="18" t="s">
        <v>102</v>
      </c>
      <c r="Z2" s="18" t="s">
        <v>96</v>
      </c>
      <c r="AA2" s="18" t="s">
        <v>97</v>
      </c>
      <c r="AB2" s="18" t="s">
        <v>98</v>
      </c>
      <c r="AC2" s="18" t="s">
        <v>99</v>
      </c>
      <c r="AD2" s="18" t="s">
        <v>100</v>
      </c>
      <c r="AE2" s="18" t="s">
        <v>101</v>
      </c>
      <c r="AF2" s="18" t="s">
        <v>102</v>
      </c>
      <c r="AG2" s="18" t="s">
        <v>96</v>
      </c>
      <c r="AH2" s="18" t="s">
        <v>97</v>
      </c>
      <c r="AI2" s="18" t="s">
        <v>98</v>
      </c>
      <c r="AJ2" s="18" t="s">
        <v>99</v>
      </c>
      <c r="AK2" s="18" t="s">
        <v>100</v>
      </c>
      <c r="AL2" s="18" t="s">
        <v>101</v>
      </c>
      <c r="AM2" s="18" t="s">
        <v>102</v>
      </c>
      <c r="AN2" s="18" t="s">
        <v>96</v>
      </c>
      <c r="AO2" s="18" t="s">
        <v>97</v>
      </c>
      <c r="AP2" s="18" t="s">
        <v>98</v>
      </c>
      <c r="AQ2" s="18" t="s">
        <v>99</v>
      </c>
      <c r="AR2" s="18" t="s">
        <v>100</v>
      </c>
      <c r="AS2" s="18" t="s">
        <v>101</v>
      </c>
      <c r="AT2" s="18" t="s">
        <v>102</v>
      </c>
      <c r="AU2" s="18" t="s">
        <v>96</v>
      </c>
      <c r="AV2" s="18" t="s">
        <v>97</v>
      </c>
      <c r="AW2" s="18" t="s">
        <v>98</v>
      </c>
      <c r="AX2" s="18" t="s">
        <v>99</v>
      </c>
      <c r="AY2" s="18" t="s">
        <v>97</v>
      </c>
      <c r="AZ2" s="18" t="s">
        <v>98</v>
      </c>
      <c r="BA2" s="18" t="s">
        <v>99</v>
      </c>
      <c r="BB2" s="18" t="s">
        <v>100</v>
      </c>
      <c r="BC2" s="18" t="s">
        <v>101</v>
      </c>
      <c r="BD2" s="18" t="s">
        <v>102</v>
      </c>
      <c r="BE2" s="18" t="s">
        <v>96</v>
      </c>
      <c r="BF2" s="18" t="s">
        <v>97</v>
      </c>
      <c r="BG2" s="18" t="s">
        <v>98</v>
      </c>
      <c r="BH2" s="18" t="s">
        <v>99</v>
      </c>
      <c r="BI2" s="18" t="s">
        <v>100</v>
      </c>
      <c r="BJ2" s="18" t="s">
        <v>101</v>
      </c>
      <c r="BK2" s="18" t="s">
        <v>102</v>
      </c>
      <c r="BL2" s="18" t="s">
        <v>96</v>
      </c>
      <c r="BM2" s="18" t="s">
        <v>97</v>
      </c>
      <c r="BN2" s="18" t="s">
        <v>98</v>
      </c>
      <c r="BO2" s="18" t="s">
        <v>99</v>
      </c>
      <c r="BP2" s="18" t="s">
        <v>100</v>
      </c>
      <c r="BQ2" s="18" t="s">
        <v>101</v>
      </c>
      <c r="BR2" s="18" t="s">
        <v>102</v>
      </c>
      <c r="BS2" s="18" t="s">
        <v>96</v>
      </c>
      <c r="BT2" s="18" t="s">
        <v>97</v>
      </c>
      <c r="BU2" s="18" t="s">
        <v>98</v>
      </c>
    </row>
    <row r="3" spans="1:146" ht="12" customHeight="1" x14ac:dyDescent="0.25">
      <c r="A3" s="42"/>
      <c r="B3" s="19"/>
      <c r="C3" s="19"/>
      <c r="D3" s="48">
        <f>D4</f>
        <v>8.0808080808080815E-2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</row>
    <row r="4" spans="1:146" ht="12" customHeight="1" x14ac:dyDescent="0.25">
      <c r="A4" s="77" t="s">
        <v>1</v>
      </c>
      <c r="B4" s="80" t="s">
        <v>103</v>
      </c>
      <c r="C4" s="80">
        <f>COUNTA(E4:DT6)</f>
        <v>99</v>
      </c>
      <c r="D4" s="83">
        <f>COUNTA(E9:EF17)/COUNTA(E4:EF6)</f>
        <v>8.0808080808080815E-2</v>
      </c>
      <c r="E4" s="20" t="s">
        <v>213</v>
      </c>
      <c r="F4" s="20" t="s">
        <v>110</v>
      </c>
      <c r="G4" s="20" t="s">
        <v>111</v>
      </c>
      <c r="H4" s="20" t="s">
        <v>112</v>
      </c>
      <c r="I4" s="20" t="s">
        <v>113</v>
      </c>
      <c r="J4" s="20"/>
      <c r="K4" s="20"/>
      <c r="L4" s="20" t="s">
        <v>114</v>
      </c>
      <c r="M4" s="20" t="s">
        <v>115</v>
      </c>
      <c r="N4" s="20" t="s">
        <v>104</v>
      </c>
      <c r="O4" s="20" t="s">
        <v>116</v>
      </c>
      <c r="P4" s="20" t="s">
        <v>117</v>
      </c>
      <c r="Q4" s="20"/>
      <c r="R4" s="20"/>
      <c r="S4" s="20" t="s">
        <v>118</v>
      </c>
      <c r="T4" s="20" t="s">
        <v>119</v>
      </c>
      <c r="U4" s="20" t="s">
        <v>120</v>
      </c>
      <c r="V4" s="20" t="s">
        <v>121</v>
      </c>
      <c r="W4" s="20" t="s">
        <v>122</v>
      </c>
      <c r="X4" s="20"/>
      <c r="Y4" s="20"/>
      <c r="Z4" s="20" t="s">
        <v>123</v>
      </c>
      <c r="AA4" s="20" t="s">
        <v>124</v>
      </c>
      <c r="AB4" s="20" t="s">
        <v>125</v>
      </c>
      <c r="AC4" s="20" t="s">
        <v>126</v>
      </c>
      <c r="AD4" s="20" t="s">
        <v>127</v>
      </c>
      <c r="AE4" s="20"/>
      <c r="AF4" s="20"/>
      <c r="AG4" s="20" t="s">
        <v>128</v>
      </c>
      <c r="AH4" s="20" t="s">
        <v>129</v>
      </c>
      <c r="AI4" s="20" t="s">
        <v>130</v>
      </c>
      <c r="AJ4" s="20" t="s">
        <v>131</v>
      </c>
      <c r="AK4" s="20" t="s">
        <v>132</v>
      </c>
      <c r="AL4" s="20"/>
      <c r="AM4" s="20"/>
      <c r="AN4" s="20" t="s">
        <v>187</v>
      </c>
      <c r="AO4" s="20" t="s">
        <v>188</v>
      </c>
      <c r="AP4" s="20" t="s">
        <v>189</v>
      </c>
      <c r="AQ4" s="20" t="s">
        <v>190</v>
      </c>
      <c r="AR4" s="20" t="s">
        <v>191</v>
      </c>
      <c r="AS4" s="20"/>
      <c r="AT4" s="20"/>
      <c r="AU4" s="20" t="s">
        <v>192</v>
      </c>
      <c r="AV4" s="20" t="s">
        <v>193</v>
      </c>
      <c r="AW4" s="20" t="s">
        <v>194</v>
      </c>
      <c r="AX4" s="20" t="s">
        <v>195</v>
      </c>
      <c r="AY4" s="86"/>
      <c r="AZ4" s="86"/>
      <c r="BA4" s="86"/>
      <c r="BB4" s="86"/>
      <c r="BC4" s="86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</row>
    <row r="5" spans="1:146" ht="12" customHeight="1" x14ac:dyDescent="0.25">
      <c r="A5" s="78"/>
      <c r="B5" s="81"/>
      <c r="C5" s="81"/>
      <c r="D5" s="84"/>
      <c r="E5" s="20" t="s">
        <v>133</v>
      </c>
      <c r="F5" s="21" t="s">
        <v>134</v>
      </c>
      <c r="G5" s="21" t="s">
        <v>135</v>
      </c>
      <c r="H5" s="21" t="s">
        <v>136</v>
      </c>
      <c r="I5" s="21" t="s">
        <v>137</v>
      </c>
      <c r="J5" s="21"/>
      <c r="K5" s="21"/>
      <c r="L5" s="21" t="s">
        <v>138</v>
      </c>
      <c r="M5" s="21" t="s">
        <v>139</v>
      </c>
      <c r="N5" s="21" t="s">
        <v>140</v>
      </c>
      <c r="O5" s="21" t="s">
        <v>141</v>
      </c>
      <c r="P5" s="21"/>
      <c r="Q5" s="21"/>
      <c r="R5" s="21"/>
      <c r="S5" s="21" t="s">
        <v>142</v>
      </c>
      <c r="T5" s="21" t="s">
        <v>143</v>
      </c>
      <c r="U5" s="21" t="s">
        <v>144</v>
      </c>
      <c r="V5" s="21" t="s">
        <v>109</v>
      </c>
      <c r="W5" s="21" t="s">
        <v>145</v>
      </c>
      <c r="X5" s="21"/>
      <c r="Y5" s="21"/>
      <c r="Z5" s="21" t="s">
        <v>146</v>
      </c>
      <c r="AA5" s="21" t="s">
        <v>147</v>
      </c>
      <c r="AB5" s="21" t="s">
        <v>148</v>
      </c>
      <c r="AC5" s="21" t="s">
        <v>149</v>
      </c>
      <c r="AD5" s="21" t="s">
        <v>150</v>
      </c>
      <c r="AE5" s="21"/>
      <c r="AF5" s="21"/>
      <c r="AG5" s="21" t="s">
        <v>151</v>
      </c>
      <c r="AH5" s="21" t="s">
        <v>152</v>
      </c>
      <c r="AI5" s="21" t="s">
        <v>153</v>
      </c>
      <c r="AJ5" s="21" t="s">
        <v>154</v>
      </c>
      <c r="AK5" s="21" t="s">
        <v>155</v>
      </c>
      <c r="AL5" s="21"/>
      <c r="AM5" s="21"/>
      <c r="AN5" s="21" t="s">
        <v>196</v>
      </c>
      <c r="AO5" s="21" t="s">
        <v>197</v>
      </c>
      <c r="AP5" s="21" t="s">
        <v>198</v>
      </c>
      <c r="AQ5" s="21" t="s">
        <v>199</v>
      </c>
      <c r="AR5" s="21" t="s">
        <v>200</v>
      </c>
      <c r="AS5" s="21"/>
      <c r="AT5" s="21"/>
      <c r="AU5" s="21" t="s">
        <v>201</v>
      </c>
      <c r="AV5" s="21" t="s">
        <v>202</v>
      </c>
      <c r="AW5" s="21" t="s">
        <v>203</v>
      </c>
      <c r="AX5" s="21" t="s">
        <v>204</v>
      </c>
      <c r="AY5" s="87"/>
      <c r="AZ5" s="87"/>
      <c r="BA5" s="87"/>
      <c r="BB5" s="87"/>
      <c r="BC5" s="87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</row>
    <row r="6" spans="1:146" ht="12" customHeight="1" x14ac:dyDescent="0.25">
      <c r="A6" s="78"/>
      <c r="B6" s="82"/>
      <c r="C6" s="82"/>
      <c r="D6" s="84"/>
      <c r="E6" s="20" t="s">
        <v>156</v>
      </c>
      <c r="F6" s="22" t="s">
        <v>157</v>
      </c>
      <c r="G6" s="22" t="s">
        <v>158</v>
      </c>
      <c r="H6" s="21" t="s">
        <v>159</v>
      </c>
      <c r="I6" s="22" t="s">
        <v>160</v>
      </c>
      <c r="J6" s="21"/>
      <c r="K6" s="22"/>
      <c r="L6" s="21" t="s">
        <v>161</v>
      </c>
      <c r="M6" s="22" t="s">
        <v>162</v>
      </c>
      <c r="N6" s="22" t="s">
        <v>163</v>
      </c>
      <c r="O6" s="21" t="s">
        <v>164</v>
      </c>
      <c r="P6" s="21"/>
      <c r="Q6" s="21"/>
      <c r="R6" s="21"/>
      <c r="S6" s="21" t="s">
        <v>165</v>
      </c>
      <c r="T6" s="22" t="s">
        <v>166</v>
      </c>
      <c r="U6" s="22" t="s">
        <v>167</v>
      </c>
      <c r="V6" s="21" t="s">
        <v>108</v>
      </c>
      <c r="W6" s="21" t="s">
        <v>107</v>
      </c>
      <c r="X6" s="21"/>
      <c r="Y6" s="21"/>
      <c r="Z6" s="22" t="s">
        <v>168</v>
      </c>
      <c r="AA6" s="22" t="s">
        <v>169</v>
      </c>
      <c r="AB6" s="22" t="s">
        <v>170</v>
      </c>
      <c r="AC6" s="22" t="s">
        <v>171</v>
      </c>
      <c r="AD6" s="22" t="s">
        <v>172</v>
      </c>
      <c r="AE6" s="22"/>
      <c r="AF6" s="22"/>
      <c r="AG6" s="22" t="s">
        <v>173</v>
      </c>
      <c r="AH6" s="22" t="s">
        <v>174</v>
      </c>
      <c r="AI6" s="22" t="s">
        <v>175</v>
      </c>
      <c r="AJ6" s="22" t="s">
        <v>176</v>
      </c>
      <c r="AK6" s="22" t="s">
        <v>177</v>
      </c>
      <c r="AL6" s="22"/>
      <c r="AM6" s="22"/>
      <c r="AN6" s="22" t="s">
        <v>205</v>
      </c>
      <c r="AO6" s="22" t="s">
        <v>206</v>
      </c>
      <c r="AP6" s="22" t="s">
        <v>207</v>
      </c>
      <c r="AQ6" s="22" t="s">
        <v>208</v>
      </c>
      <c r="AR6" s="22" t="s">
        <v>209</v>
      </c>
      <c r="AS6" s="22"/>
      <c r="AT6" s="22"/>
      <c r="AU6" s="22" t="s">
        <v>210</v>
      </c>
      <c r="AV6" s="22" t="s">
        <v>211</v>
      </c>
      <c r="AW6" s="22" t="s">
        <v>212</v>
      </c>
      <c r="AX6" s="22"/>
      <c r="AY6" s="88"/>
      <c r="AZ6" s="88"/>
      <c r="BA6" s="88"/>
      <c r="BB6" s="88"/>
      <c r="BC6" s="88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</row>
    <row r="7" spans="1:146" ht="12" customHeight="1" x14ac:dyDescent="0.25">
      <c r="A7" s="78"/>
      <c r="B7" s="23"/>
      <c r="C7" s="23"/>
      <c r="D7" s="84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59"/>
      <c r="Q7" s="21"/>
      <c r="R7" s="60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</row>
    <row r="8" spans="1:146" ht="12" customHeight="1" x14ac:dyDescent="0.25">
      <c r="A8" s="78"/>
      <c r="B8" s="23"/>
      <c r="C8" s="23"/>
      <c r="D8" s="84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56"/>
      <c r="R8" s="54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</row>
    <row r="9" spans="1:146" ht="12" customHeight="1" x14ac:dyDescent="0.25">
      <c r="A9" s="78"/>
      <c r="B9" s="80" t="s">
        <v>105</v>
      </c>
      <c r="C9" s="80">
        <f>COUNTA(E9:DT17)</f>
        <v>8</v>
      </c>
      <c r="D9" s="84"/>
      <c r="E9" s="24" t="s">
        <v>170</v>
      </c>
      <c r="F9" s="55" t="s">
        <v>140</v>
      </c>
      <c r="G9" s="24" t="s">
        <v>139</v>
      </c>
      <c r="H9" s="24" t="s">
        <v>160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57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7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7"/>
    </row>
    <row r="10" spans="1:146" ht="12" customHeight="1" x14ac:dyDescent="0.25">
      <c r="A10" s="78"/>
      <c r="B10" s="81"/>
      <c r="C10" s="81"/>
      <c r="D10" s="84"/>
      <c r="E10" s="27" t="s">
        <v>171</v>
      </c>
      <c r="F10" t="s">
        <v>163</v>
      </c>
      <c r="G10" s="27" t="s">
        <v>162</v>
      </c>
      <c r="H10" s="27" t="s">
        <v>114</v>
      </c>
      <c r="I10" s="27"/>
      <c r="J10" s="27"/>
      <c r="K10" s="27"/>
      <c r="L10" s="27"/>
      <c r="M10" s="50"/>
      <c r="N10" s="27"/>
      <c r="O10" s="27"/>
      <c r="P10" s="27"/>
      <c r="Q10" s="27"/>
      <c r="S10" s="27"/>
      <c r="T10" s="27"/>
      <c r="U10" s="27"/>
      <c r="V10" s="27"/>
      <c r="W10" s="27"/>
      <c r="X10" s="27"/>
      <c r="Z10" s="27"/>
      <c r="AA10" s="27"/>
      <c r="AB10" s="27"/>
      <c r="AC10" s="27"/>
      <c r="AD10" s="27"/>
      <c r="AE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</row>
    <row r="11" spans="1:146" ht="12" customHeight="1" x14ac:dyDescent="0.25">
      <c r="A11" s="78"/>
      <c r="B11" s="81"/>
      <c r="C11" s="81"/>
      <c r="D11" s="84"/>
      <c r="E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S11" s="27"/>
      <c r="T11" s="27"/>
      <c r="U11" s="27"/>
      <c r="V11" s="27"/>
      <c r="W11" s="27"/>
      <c r="X11" s="27"/>
      <c r="Z11" s="27"/>
      <c r="AA11" s="27"/>
      <c r="AB11" s="27"/>
      <c r="AC11" s="27"/>
      <c r="AD11" s="27"/>
      <c r="AE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</row>
    <row r="12" spans="1:146" ht="12" customHeight="1" x14ac:dyDescent="0.25">
      <c r="A12" s="78"/>
      <c r="B12" s="81"/>
      <c r="C12" s="81"/>
      <c r="D12" s="84"/>
      <c r="E12" s="27"/>
      <c r="F12" s="27"/>
      <c r="G12" s="27"/>
      <c r="H12" s="27"/>
      <c r="I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</row>
    <row r="13" spans="1:146" ht="12" customHeight="1" x14ac:dyDescent="0.25">
      <c r="A13" s="78"/>
      <c r="B13" s="81"/>
      <c r="C13" s="81"/>
      <c r="D13" s="84"/>
      <c r="E13" s="27"/>
      <c r="F13" s="27"/>
      <c r="G13" s="27"/>
      <c r="H13" s="27"/>
      <c r="I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</row>
    <row r="14" spans="1:146" ht="12.6" customHeight="1" x14ac:dyDescent="0.25">
      <c r="A14" s="78"/>
      <c r="B14" s="81"/>
      <c r="C14" s="81"/>
      <c r="D14" s="84"/>
      <c r="E14" s="27"/>
      <c r="F14" s="27"/>
      <c r="G14" s="27"/>
      <c r="H14" s="26"/>
      <c r="I14" s="26"/>
      <c r="K14" s="25"/>
      <c r="L14" s="50"/>
      <c r="M14" s="61"/>
      <c r="N14" s="25"/>
      <c r="O14" s="26"/>
      <c r="P14" s="51"/>
      <c r="Q14" s="27"/>
      <c r="R14" s="26"/>
      <c r="S14" s="51"/>
      <c r="T14" s="26"/>
      <c r="U14" s="26"/>
      <c r="V14" s="51"/>
      <c r="W14" s="26"/>
      <c r="X14" s="26"/>
      <c r="Y14" s="27"/>
      <c r="Z14" s="29"/>
      <c r="AA14" s="29"/>
      <c r="AB14" s="29"/>
      <c r="AC14" s="30"/>
      <c r="AD14" s="51"/>
      <c r="AE14" s="26"/>
      <c r="AF14" s="26"/>
      <c r="AG14" s="26"/>
      <c r="AH14" s="26"/>
      <c r="AI14" s="26"/>
      <c r="AJ14" s="31"/>
      <c r="AK14" s="26"/>
      <c r="AL14" s="26"/>
      <c r="AM14" s="26"/>
      <c r="AN14" s="26"/>
      <c r="AO14" s="26"/>
      <c r="AP14" s="26"/>
      <c r="AQ14" s="26"/>
      <c r="AR14" s="26"/>
      <c r="AS14" s="31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31"/>
      <c r="BZ14" s="26"/>
      <c r="CA14" s="26"/>
      <c r="CB14" s="26"/>
      <c r="CC14" s="26"/>
      <c r="CD14" s="26"/>
      <c r="CE14" s="26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</row>
    <row r="15" spans="1:146" ht="15.6" customHeight="1" x14ac:dyDescent="0.25">
      <c r="A15" s="78"/>
      <c r="B15" s="81"/>
      <c r="C15" s="81"/>
      <c r="D15" s="84"/>
      <c r="E15" s="27"/>
      <c r="F15" s="27"/>
      <c r="G15" s="27"/>
      <c r="H15" s="26"/>
      <c r="I15" s="26"/>
      <c r="J15" s="26"/>
      <c r="K15" s="25"/>
      <c r="L15" s="25"/>
      <c r="M15" s="25"/>
      <c r="N15" s="25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8"/>
      <c r="Z15" s="29"/>
      <c r="AA15" s="52"/>
      <c r="AB15" s="29"/>
      <c r="AC15" s="30"/>
      <c r="AD15" s="26"/>
      <c r="AE15" s="26"/>
      <c r="AF15" s="26"/>
      <c r="AG15" s="26"/>
      <c r="AH15" s="26"/>
      <c r="AI15" s="26"/>
      <c r="AJ15" s="31"/>
      <c r="AK15" s="26"/>
      <c r="AL15" s="26"/>
      <c r="AM15" s="26"/>
      <c r="AN15" s="26"/>
      <c r="AO15" s="26"/>
      <c r="AP15" s="26"/>
      <c r="AQ15" s="26"/>
      <c r="AR15" s="26"/>
      <c r="AS15" s="31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Z15" s="26"/>
      <c r="CA15" s="26"/>
      <c r="CB15" s="26"/>
      <c r="CC15" s="26"/>
      <c r="CD15" s="26"/>
      <c r="CE15" s="26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</row>
    <row r="16" spans="1:146" ht="10.9" customHeight="1" x14ac:dyDescent="0.25">
      <c r="A16" s="78"/>
      <c r="B16" s="81"/>
      <c r="C16" s="81"/>
      <c r="D16" s="84"/>
      <c r="E16" s="27"/>
      <c r="F16" s="27"/>
      <c r="G16" s="27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8"/>
      <c r="Z16" s="29"/>
      <c r="AA16" s="52"/>
      <c r="AB16" s="29"/>
      <c r="AC16" s="3"/>
      <c r="AD16" s="30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31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</row>
    <row r="17" spans="1:146" ht="12" customHeight="1" x14ac:dyDescent="0.25">
      <c r="A17" s="79"/>
      <c r="B17" s="82"/>
      <c r="C17" s="82"/>
      <c r="D17" s="85"/>
      <c r="E17" s="32"/>
      <c r="F17" s="32"/>
      <c r="G17" s="32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4"/>
      <c r="Z17" s="35"/>
      <c r="AA17" s="35"/>
      <c r="AB17" s="32"/>
      <c r="AC17" s="58"/>
      <c r="AD17" s="5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</row>
    <row r="18" spans="1:146" ht="12" customHeight="1" x14ac:dyDescent="0.25">
      <c r="A18" s="4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</row>
    <row r="20" spans="1:146" ht="12" customHeight="1" thickBot="1" x14ac:dyDescent="0.3"/>
    <row r="21" spans="1:146" ht="12" customHeight="1" x14ac:dyDescent="0.25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7"/>
      <c r="AK21" s="5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7"/>
    </row>
    <row r="22" spans="1:146" ht="21.75" customHeight="1" x14ac:dyDescent="0.35">
      <c r="B22" s="13"/>
      <c r="C22" s="62" t="s">
        <v>2</v>
      </c>
      <c r="D22" s="62"/>
      <c r="E22" s="62"/>
      <c r="F22" s="62"/>
      <c r="G22" s="62"/>
      <c r="H22" s="62"/>
      <c r="I22" s="62"/>
      <c r="J22" s="8"/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8"/>
      <c r="AA22" s="37"/>
      <c r="AB22" s="37"/>
      <c r="AC22" s="37"/>
      <c r="AD22" s="63" t="s">
        <v>3</v>
      </c>
      <c r="AE22" s="64"/>
      <c r="AF22" s="63" t="s">
        <v>4</v>
      </c>
      <c r="AG22" s="64"/>
      <c r="AH22" s="14"/>
      <c r="AK22" s="69" t="s">
        <v>181</v>
      </c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BC22" s="14"/>
    </row>
    <row r="23" spans="1:146" ht="12" customHeight="1" x14ac:dyDescent="0.25">
      <c r="B23" s="13"/>
      <c r="C23" s="9"/>
      <c r="D23" s="9"/>
      <c r="E23" s="9"/>
      <c r="F23" s="9"/>
      <c r="G23" s="9"/>
      <c r="H23" s="9"/>
      <c r="I23" s="9"/>
      <c r="J23" s="8"/>
      <c r="K23" s="8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8"/>
      <c r="AA23" s="37"/>
      <c r="AB23" s="37"/>
      <c r="AC23" s="37"/>
      <c r="AD23" s="65"/>
      <c r="AE23" s="66"/>
      <c r="AF23" s="65"/>
      <c r="AG23" s="66"/>
      <c r="AH23" s="14"/>
      <c r="AK23" s="71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3"/>
    </row>
    <row r="24" spans="1:146" ht="12" customHeight="1" x14ac:dyDescent="0.25">
      <c r="B24" s="13"/>
      <c r="C24" s="9"/>
      <c r="D24" s="9"/>
      <c r="E24" s="9"/>
      <c r="F24" s="9"/>
      <c r="G24" s="9"/>
      <c r="H24" s="9"/>
      <c r="I24" s="8"/>
      <c r="J24" s="8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8"/>
      <c r="AA24" s="37"/>
      <c r="AB24" s="37"/>
      <c r="AC24" s="37"/>
      <c r="AD24" s="67"/>
      <c r="AE24" s="68"/>
      <c r="AF24" s="67"/>
      <c r="AG24" s="68"/>
      <c r="AH24" s="14"/>
      <c r="AK24" s="74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6"/>
    </row>
    <row r="25" spans="1:146" ht="14.45" customHeight="1" x14ac:dyDescent="0.25">
      <c r="B25" s="13"/>
      <c r="C25" s="9"/>
      <c r="D25" s="9"/>
      <c r="E25" s="9"/>
      <c r="F25" s="9"/>
      <c r="G25" s="9"/>
      <c r="H25" s="9"/>
      <c r="I25" s="8"/>
      <c r="J25" s="8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4" t="s">
        <v>5</v>
      </c>
      <c r="Z25" s="9"/>
      <c r="AA25" s="63" t="s">
        <v>6</v>
      </c>
      <c r="AB25" s="64"/>
      <c r="AC25" s="63" t="s">
        <v>7</v>
      </c>
      <c r="AD25" s="64"/>
      <c r="AE25" s="63" t="s">
        <v>8</v>
      </c>
      <c r="AF25" s="64"/>
      <c r="AG25" s="37"/>
      <c r="AH25" s="14"/>
      <c r="AK25" s="74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6"/>
    </row>
    <row r="26" spans="1:146" ht="15" x14ac:dyDescent="0.25">
      <c r="B26" s="13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4"/>
      <c r="Z26" s="9"/>
      <c r="AA26" s="65"/>
      <c r="AB26" s="66"/>
      <c r="AC26" s="65"/>
      <c r="AD26" s="66"/>
      <c r="AE26" s="65"/>
      <c r="AF26" s="66"/>
      <c r="AG26" s="37"/>
      <c r="AH26" s="14"/>
      <c r="AK26" s="95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7"/>
    </row>
    <row r="27" spans="1:146" ht="14.45" customHeight="1" x14ac:dyDescent="0.25">
      <c r="B27" s="13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89" t="s">
        <v>217</v>
      </c>
      <c r="O27" s="89"/>
      <c r="P27" s="89"/>
      <c r="Q27" s="89"/>
      <c r="R27" s="9"/>
      <c r="S27" s="9"/>
      <c r="T27" s="9"/>
      <c r="U27" s="9"/>
      <c r="V27" s="9"/>
      <c r="W27" s="9"/>
      <c r="X27" s="9"/>
      <c r="Y27" s="94"/>
      <c r="Z27" s="9"/>
      <c r="AA27" s="67"/>
      <c r="AB27" s="68"/>
      <c r="AC27" s="67"/>
      <c r="AD27" s="68"/>
      <c r="AE27" s="67"/>
      <c r="AF27" s="68"/>
      <c r="AG27" s="37"/>
      <c r="AH27" s="14"/>
      <c r="AK27" s="74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6"/>
    </row>
    <row r="28" spans="1:146" ht="12" customHeight="1" x14ac:dyDescent="0.25">
      <c r="B28" s="13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37"/>
      <c r="W28" s="37"/>
      <c r="X28" s="37"/>
      <c r="Y28" s="37"/>
      <c r="Z28" s="63" t="s">
        <v>9</v>
      </c>
      <c r="AA28" s="64"/>
      <c r="AB28" s="63" t="s">
        <v>10</v>
      </c>
      <c r="AC28" s="64"/>
      <c r="AD28" s="63" t="s">
        <v>11</v>
      </c>
      <c r="AE28" s="64"/>
      <c r="AF28" s="9"/>
      <c r="AG28" s="9"/>
      <c r="AH28" s="14"/>
      <c r="AK28" s="90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2"/>
    </row>
    <row r="29" spans="1:146" ht="12" customHeight="1" x14ac:dyDescent="0.25">
      <c r="B29" s="13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37"/>
      <c r="W29" s="37"/>
      <c r="X29" s="37"/>
      <c r="Y29" s="37"/>
      <c r="Z29" s="65"/>
      <c r="AA29" s="66"/>
      <c r="AB29" s="65"/>
      <c r="AC29" s="66"/>
      <c r="AD29" s="65"/>
      <c r="AE29" s="66"/>
      <c r="AF29" s="9"/>
      <c r="AG29" s="9"/>
      <c r="AH29" s="14"/>
      <c r="AK29" s="90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2"/>
    </row>
    <row r="30" spans="1:146" ht="12" customHeight="1" x14ac:dyDescent="0.25">
      <c r="B30" s="13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37"/>
      <c r="W30" s="37"/>
      <c r="X30" s="93">
        <v>519</v>
      </c>
      <c r="Y30" s="37"/>
      <c r="Z30" s="67"/>
      <c r="AA30" s="68"/>
      <c r="AB30" s="67"/>
      <c r="AC30" s="68"/>
      <c r="AD30" s="67"/>
      <c r="AE30" s="68"/>
      <c r="AF30" s="9"/>
      <c r="AG30" s="9"/>
      <c r="AH30" s="14"/>
      <c r="AK30" s="90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2"/>
    </row>
    <row r="31" spans="1:146" ht="12" customHeight="1" x14ac:dyDescent="0.25">
      <c r="B31" s="13"/>
      <c r="C31" s="9"/>
      <c r="D31" s="9"/>
      <c r="E31" s="9"/>
      <c r="F31" s="9"/>
      <c r="G31" s="9"/>
      <c r="H31" s="9"/>
      <c r="I31" s="9"/>
      <c r="J31" s="9"/>
      <c r="K31" s="9"/>
      <c r="L31" s="9"/>
      <c r="M31" s="39"/>
      <c r="N31" s="39"/>
      <c r="O31" s="39"/>
      <c r="P31" s="39"/>
      <c r="Q31" s="39"/>
      <c r="R31" s="39"/>
      <c r="S31" s="39"/>
      <c r="T31" s="39"/>
      <c r="U31" s="39"/>
      <c r="V31" s="37"/>
      <c r="W31" s="37"/>
      <c r="X31" s="93"/>
      <c r="Y31" s="37"/>
      <c r="Z31" s="63" t="s">
        <v>12</v>
      </c>
      <c r="AA31" s="64"/>
      <c r="AB31" s="63" t="s">
        <v>13</v>
      </c>
      <c r="AC31" s="64"/>
      <c r="AD31" s="63" t="s">
        <v>14</v>
      </c>
      <c r="AE31" s="64"/>
      <c r="AF31" s="9"/>
      <c r="AG31" s="9"/>
      <c r="AH31" s="14"/>
      <c r="AI31" s="1"/>
      <c r="AK31" s="90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2"/>
    </row>
    <row r="32" spans="1:146" ht="12" customHeight="1" x14ac:dyDescent="0.25">
      <c r="B32" s="13"/>
      <c r="C32" s="9"/>
      <c r="D32" s="9"/>
      <c r="E32" s="9"/>
      <c r="F32" s="9"/>
      <c r="G32" s="9"/>
      <c r="H32" s="9"/>
      <c r="I32" s="9"/>
      <c r="J32" s="9"/>
      <c r="K32" s="9"/>
      <c r="L32" s="9"/>
      <c r="M32" s="39"/>
      <c r="N32" s="39"/>
      <c r="O32" s="39"/>
      <c r="P32" s="39"/>
      <c r="Q32" s="39"/>
      <c r="R32" s="39"/>
      <c r="S32" s="39"/>
      <c r="T32" s="39"/>
      <c r="U32" s="39"/>
      <c r="V32" s="37"/>
      <c r="W32" s="37"/>
      <c r="X32" s="93"/>
      <c r="Y32" s="37"/>
      <c r="Z32" s="65"/>
      <c r="AA32" s="66"/>
      <c r="AB32" s="65"/>
      <c r="AC32" s="66"/>
      <c r="AD32" s="65"/>
      <c r="AE32" s="66"/>
      <c r="AF32" s="9"/>
      <c r="AG32" s="9"/>
      <c r="AH32" s="14"/>
      <c r="AK32" s="90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2"/>
    </row>
    <row r="33" spans="2:55" ht="12" customHeight="1" x14ac:dyDescent="0.25">
      <c r="B33" s="13"/>
      <c r="C33" s="9"/>
      <c r="D33" s="2" t="s">
        <v>178</v>
      </c>
      <c r="E33" s="44"/>
      <c r="F33" s="45"/>
      <c r="G33" s="9"/>
      <c r="H33" s="9"/>
      <c r="I33" s="9"/>
      <c r="J33" s="37"/>
      <c r="K33" s="37"/>
      <c r="L33" s="37"/>
      <c r="M33" s="36"/>
      <c r="N33" s="36"/>
      <c r="O33" s="36"/>
      <c r="P33" s="36"/>
      <c r="Q33" s="36"/>
      <c r="R33" s="98" t="s">
        <v>15</v>
      </c>
      <c r="S33" s="99"/>
      <c r="T33" s="98" t="s">
        <v>16</v>
      </c>
      <c r="U33" s="99"/>
      <c r="V33" s="37"/>
      <c r="W33" s="37"/>
      <c r="X33" s="37"/>
      <c r="Y33" s="37"/>
      <c r="Z33" s="67"/>
      <c r="AA33" s="68"/>
      <c r="AB33" s="67"/>
      <c r="AC33" s="68"/>
      <c r="AD33" s="67"/>
      <c r="AE33" s="68"/>
      <c r="AF33" s="9"/>
      <c r="AG33" s="9"/>
      <c r="AH33" s="14"/>
      <c r="AK33" s="13"/>
      <c r="BC33" s="14"/>
    </row>
    <row r="34" spans="2:55" ht="12" customHeight="1" x14ac:dyDescent="0.25">
      <c r="B34" s="13"/>
      <c r="C34" s="9"/>
      <c r="D34" s="2" t="s">
        <v>179</v>
      </c>
      <c r="E34" s="2"/>
      <c r="F34" s="46"/>
      <c r="G34" s="9"/>
      <c r="H34" s="9"/>
      <c r="I34" s="9"/>
      <c r="J34" s="37"/>
      <c r="K34" s="37"/>
      <c r="L34" s="37"/>
      <c r="M34" s="36"/>
      <c r="N34" s="36"/>
      <c r="O34" s="36"/>
      <c r="P34" s="36"/>
      <c r="Q34" s="36"/>
      <c r="R34" s="100"/>
      <c r="S34" s="101"/>
      <c r="T34" s="100"/>
      <c r="U34" s="101"/>
      <c r="V34" s="37"/>
      <c r="W34" s="37"/>
      <c r="X34" s="37"/>
      <c r="Y34" s="63" t="s">
        <v>17</v>
      </c>
      <c r="Z34" s="64"/>
      <c r="AA34" s="63" t="s">
        <v>18</v>
      </c>
      <c r="AB34" s="64"/>
      <c r="AC34" s="63" t="s">
        <v>106</v>
      </c>
      <c r="AD34" s="64"/>
      <c r="AE34" s="37"/>
      <c r="AF34" s="9"/>
      <c r="AG34" s="9"/>
      <c r="AH34" s="14"/>
      <c r="AK34" s="13"/>
      <c r="BC34" s="14"/>
    </row>
    <row r="35" spans="2:55" ht="12" customHeight="1" x14ac:dyDescent="0.25">
      <c r="B35" s="13"/>
      <c r="C35" s="9"/>
      <c r="D35" s="2" t="s">
        <v>180</v>
      </c>
      <c r="E35" s="2"/>
      <c r="F35" s="47"/>
      <c r="G35" s="9"/>
      <c r="H35" s="9"/>
      <c r="I35" s="9"/>
      <c r="J35" s="37"/>
      <c r="K35" s="37"/>
      <c r="L35" s="37"/>
      <c r="M35" s="36"/>
      <c r="N35" s="36"/>
      <c r="O35" s="36"/>
      <c r="P35" s="36"/>
      <c r="Q35" s="36"/>
      <c r="R35" s="102"/>
      <c r="S35" s="103"/>
      <c r="T35" s="102"/>
      <c r="U35" s="103"/>
      <c r="V35" s="37"/>
      <c r="W35" s="104" t="s">
        <v>5</v>
      </c>
      <c r="X35" s="37"/>
      <c r="Y35" s="65"/>
      <c r="Z35" s="66"/>
      <c r="AA35" s="65"/>
      <c r="AB35" s="66"/>
      <c r="AC35" s="65"/>
      <c r="AD35" s="66"/>
      <c r="AE35" s="37"/>
      <c r="AF35" s="9"/>
      <c r="AG35" s="9"/>
      <c r="AH35" s="14"/>
      <c r="AK35" s="13"/>
      <c r="BC35" s="14"/>
    </row>
    <row r="36" spans="2:55" ht="12" customHeight="1" x14ac:dyDescent="0.25">
      <c r="B36" s="13"/>
      <c r="C36" s="9"/>
      <c r="D36" s="9"/>
      <c r="E36" s="9"/>
      <c r="F36" s="9"/>
      <c r="G36" s="9"/>
      <c r="H36" s="9"/>
      <c r="I36" s="9"/>
      <c r="J36" s="37"/>
      <c r="K36" s="37"/>
      <c r="L36" s="37"/>
      <c r="M36" s="36"/>
      <c r="N36" s="36"/>
      <c r="O36" s="36"/>
      <c r="P36" s="98" t="s">
        <v>19</v>
      </c>
      <c r="Q36" s="99"/>
      <c r="R36" s="98" t="s">
        <v>20</v>
      </c>
      <c r="S36" s="99"/>
      <c r="T36" s="98" t="s">
        <v>21</v>
      </c>
      <c r="U36" s="99"/>
      <c r="V36" s="37"/>
      <c r="W36" s="104"/>
      <c r="X36" s="37"/>
      <c r="Y36" s="67"/>
      <c r="Z36" s="68"/>
      <c r="AA36" s="67"/>
      <c r="AB36" s="68"/>
      <c r="AC36" s="67"/>
      <c r="AD36" s="68"/>
      <c r="AE36" s="37"/>
      <c r="AF36" s="9"/>
      <c r="AG36" s="9"/>
      <c r="AH36" s="14"/>
      <c r="AK36" s="13"/>
      <c r="BC36" s="14"/>
    </row>
    <row r="37" spans="2:55" ht="12" customHeight="1" x14ac:dyDescent="0.25">
      <c r="B37" s="13"/>
      <c r="C37" s="9"/>
      <c r="E37" s="9"/>
      <c r="F37" s="9"/>
      <c r="G37" s="9"/>
      <c r="H37" s="9"/>
      <c r="I37" s="9"/>
      <c r="J37" s="37"/>
      <c r="K37" s="37"/>
      <c r="L37" s="37"/>
      <c r="M37" s="36"/>
      <c r="N37" s="36"/>
      <c r="O37" s="36"/>
      <c r="P37" s="100"/>
      <c r="Q37" s="101"/>
      <c r="R37" s="100"/>
      <c r="S37" s="101"/>
      <c r="T37" s="100"/>
      <c r="U37" s="101"/>
      <c r="V37" s="37"/>
      <c r="W37" s="104"/>
      <c r="X37" s="37"/>
      <c r="Y37" s="63" t="s">
        <v>22</v>
      </c>
      <c r="Z37" s="64"/>
      <c r="AA37" s="63" t="s">
        <v>23</v>
      </c>
      <c r="AB37" s="64"/>
      <c r="AC37" s="37"/>
      <c r="AD37" s="37"/>
      <c r="AE37" s="37"/>
      <c r="AF37" s="9"/>
      <c r="AG37" s="9"/>
      <c r="AH37" s="14"/>
      <c r="AK37" s="13"/>
      <c r="BC37" s="14"/>
    </row>
    <row r="38" spans="2:55" ht="12" customHeight="1" thickBot="1" x14ac:dyDescent="0.3">
      <c r="B38" s="13"/>
      <c r="C38" s="9"/>
      <c r="D38" s="9"/>
      <c r="E38" s="9"/>
      <c r="F38" s="9"/>
      <c r="G38" s="9"/>
      <c r="H38" s="9"/>
      <c r="I38" s="9"/>
      <c r="J38" s="37"/>
      <c r="K38" s="37"/>
      <c r="L38" s="37"/>
      <c r="M38" s="36"/>
      <c r="N38" s="36"/>
      <c r="O38" s="36"/>
      <c r="P38" s="102"/>
      <c r="Q38" s="103"/>
      <c r="R38" s="102"/>
      <c r="S38" s="103"/>
      <c r="T38" s="102"/>
      <c r="U38" s="103"/>
      <c r="V38" s="37"/>
      <c r="W38" s="104"/>
      <c r="X38" s="37"/>
      <c r="Y38" s="65"/>
      <c r="Z38" s="66"/>
      <c r="AA38" s="65"/>
      <c r="AB38" s="66"/>
      <c r="AC38" s="37"/>
      <c r="AD38" s="37"/>
      <c r="AE38" s="37"/>
      <c r="AF38" s="9"/>
      <c r="AG38" s="9"/>
      <c r="AH38" s="14"/>
      <c r="AK38" s="10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2"/>
    </row>
    <row r="39" spans="2:55" ht="12" customHeight="1" x14ac:dyDescent="0.25">
      <c r="B39" s="13"/>
      <c r="C39" s="9"/>
      <c r="D39" s="9"/>
      <c r="E39" s="9"/>
      <c r="F39" s="9"/>
      <c r="G39" s="9"/>
      <c r="H39" s="9"/>
      <c r="I39" s="9"/>
      <c r="J39" s="37"/>
      <c r="K39" s="37"/>
      <c r="L39" s="37"/>
      <c r="M39" s="98" t="s">
        <v>24</v>
      </c>
      <c r="N39" s="99"/>
      <c r="O39" s="98" t="s">
        <v>25</v>
      </c>
      <c r="P39" s="99"/>
      <c r="Q39" s="98" t="s">
        <v>26</v>
      </c>
      <c r="R39" s="99"/>
      <c r="S39" s="98" t="s">
        <v>27</v>
      </c>
      <c r="T39" s="99"/>
      <c r="U39" s="36"/>
      <c r="V39" s="37"/>
      <c r="W39" s="37"/>
      <c r="X39" s="37"/>
      <c r="Y39" s="67"/>
      <c r="Z39" s="68"/>
      <c r="AA39" s="67"/>
      <c r="AB39" s="68"/>
      <c r="AC39" s="37"/>
      <c r="AD39" s="37"/>
      <c r="AE39" s="37"/>
      <c r="AF39" s="9"/>
      <c r="AG39" s="9"/>
      <c r="AH39" s="14"/>
    </row>
    <row r="40" spans="2:55" ht="12" customHeight="1" x14ac:dyDescent="0.25">
      <c r="B40" s="13"/>
      <c r="C40" s="9"/>
      <c r="D40" s="9"/>
      <c r="E40" s="9"/>
      <c r="F40" s="9"/>
      <c r="G40" s="9"/>
      <c r="H40" s="9"/>
      <c r="I40" s="9"/>
      <c r="J40" s="37"/>
      <c r="K40" s="37"/>
      <c r="L40" s="37"/>
      <c r="M40" s="100"/>
      <c r="N40" s="101"/>
      <c r="O40" s="100"/>
      <c r="P40" s="101"/>
      <c r="Q40" s="100"/>
      <c r="R40" s="101"/>
      <c r="S40" s="100"/>
      <c r="T40" s="101"/>
      <c r="U40" s="36"/>
      <c r="V40" s="93">
        <v>519</v>
      </c>
      <c r="W40" s="37"/>
      <c r="X40" s="63" t="s">
        <v>28</v>
      </c>
      <c r="Y40" s="64"/>
      <c r="Z40" s="63" t="s">
        <v>29</v>
      </c>
      <c r="AA40" s="64"/>
      <c r="AB40" s="37"/>
      <c r="AC40" s="37"/>
      <c r="AD40" s="37"/>
      <c r="AE40" s="37"/>
      <c r="AF40" s="9"/>
      <c r="AG40" s="9"/>
      <c r="AH40" s="14"/>
    </row>
    <row r="41" spans="2:55" ht="12" customHeight="1" x14ac:dyDescent="0.25">
      <c r="B41" s="13"/>
      <c r="C41" s="9"/>
      <c r="D41" s="9"/>
      <c r="E41" s="9"/>
      <c r="F41" s="9"/>
      <c r="G41" s="9"/>
      <c r="H41" s="9"/>
      <c r="I41" s="9"/>
      <c r="J41" s="37"/>
      <c r="K41" s="37"/>
      <c r="L41" s="37"/>
      <c r="M41" s="102"/>
      <c r="N41" s="103"/>
      <c r="O41" s="102"/>
      <c r="P41" s="103"/>
      <c r="Q41" s="102"/>
      <c r="R41" s="103"/>
      <c r="S41" s="102"/>
      <c r="T41" s="103"/>
      <c r="U41" s="36"/>
      <c r="V41" s="93"/>
      <c r="W41" s="37"/>
      <c r="X41" s="65"/>
      <c r="Y41" s="66"/>
      <c r="Z41" s="65"/>
      <c r="AA41" s="66"/>
      <c r="AB41" s="37"/>
      <c r="AC41" s="37"/>
      <c r="AD41" s="37"/>
      <c r="AE41" s="37"/>
      <c r="AF41" s="9"/>
      <c r="AG41" s="9"/>
      <c r="AH41" s="14"/>
    </row>
    <row r="42" spans="2:55" ht="12" customHeight="1" x14ac:dyDescent="0.25">
      <c r="B42" s="13"/>
      <c r="C42" s="9"/>
      <c r="D42" s="9"/>
      <c r="E42" s="9"/>
      <c r="F42" s="9"/>
      <c r="G42" s="9"/>
      <c r="H42" s="9"/>
      <c r="I42" s="9"/>
      <c r="J42" s="37"/>
      <c r="K42" s="98" t="s">
        <v>30</v>
      </c>
      <c r="L42" s="99"/>
      <c r="M42" s="98" t="s">
        <v>31</v>
      </c>
      <c r="N42" s="99"/>
      <c r="O42" s="98" t="s">
        <v>32</v>
      </c>
      <c r="P42" s="99"/>
      <c r="Q42" s="98" t="s">
        <v>33</v>
      </c>
      <c r="R42" s="99"/>
      <c r="S42" s="98" t="s">
        <v>34</v>
      </c>
      <c r="T42" s="99"/>
      <c r="U42" s="37"/>
      <c r="V42" s="93"/>
      <c r="W42" s="37"/>
      <c r="X42" s="67"/>
      <c r="Y42" s="68"/>
      <c r="Z42" s="67"/>
      <c r="AA42" s="68"/>
      <c r="AB42" s="37"/>
      <c r="AC42" s="37"/>
      <c r="AD42" s="37"/>
      <c r="AE42" s="37"/>
      <c r="AF42" s="9"/>
      <c r="AG42" s="9"/>
      <c r="AH42" s="14"/>
    </row>
    <row r="43" spans="2:55" ht="12" customHeight="1" x14ac:dyDescent="0.25">
      <c r="B43" s="13"/>
      <c r="C43" s="9"/>
      <c r="D43" s="9"/>
      <c r="E43" s="9"/>
      <c r="F43" s="9"/>
      <c r="G43" s="9"/>
      <c r="H43" s="9"/>
      <c r="I43" s="9"/>
      <c r="J43" s="37"/>
      <c r="K43" s="100"/>
      <c r="L43" s="101"/>
      <c r="M43" s="100"/>
      <c r="N43" s="101"/>
      <c r="O43" s="100"/>
      <c r="P43" s="101"/>
      <c r="Q43" s="100"/>
      <c r="R43" s="101"/>
      <c r="S43" s="100"/>
      <c r="T43" s="101"/>
      <c r="U43" s="37"/>
      <c r="V43" s="93"/>
      <c r="W43" s="37"/>
      <c r="X43" s="63" t="s">
        <v>35</v>
      </c>
      <c r="Y43" s="64"/>
      <c r="Z43" s="63" t="s">
        <v>36</v>
      </c>
      <c r="AA43" s="64"/>
      <c r="AB43" s="37"/>
      <c r="AC43" s="37"/>
      <c r="AD43" s="37"/>
      <c r="AE43" s="37"/>
      <c r="AF43" s="9"/>
      <c r="AG43" s="9"/>
      <c r="AH43" s="14"/>
    </row>
    <row r="44" spans="2:55" ht="12" customHeight="1" x14ac:dyDescent="0.25">
      <c r="B44" s="13"/>
      <c r="C44" s="9"/>
      <c r="D44" s="9"/>
      <c r="E44" s="9"/>
      <c r="F44" s="9"/>
      <c r="G44" s="9"/>
      <c r="H44" s="9"/>
      <c r="I44" s="9"/>
      <c r="J44" s="37"/>
      <c r="K44" s="102"/>
      <c r="L44" s="103"/>
      <c r="M44" s="102"/>
      <c r="N44" s="103"/>
      <c r="O44" s="102"/>
      <c r="P44" s="103"/>
      <c r="Q44" s="102"/>
      <c r="R44" s="103"/>
      <c r="S44" s="102"/>
      <c r="T44" s="103"/>
      <c r="U44" s="37"/>
      <c r="V44" s="37"/>
      <c r="W44" s="37"/>
      <c r="X44" s="65"/>
      <c r="Y44" s="66"/>
      <c r="Z44" s="65"/>
      <c r="AA44" s="66"/>
      <c r="AB44" s="37"/>
      <c r="AC44" s="37"/>
      <c r="AD44" s="37"/>
      <c r="AE44" s="37"/>
      <c r="AF44" s="9"/>
      <c r="AG44" s="9"/>
      <c r="AH44" s="14"/>
    </row>
    <row r="45" spans="2:55" ht="12" customHeight="1" x14ac:dyDescent="0.25">
      <c r="B45" s="13"/>
      <c r="C45" s="9"/>
      <c r="D45" s="9"/>
      <c r="E45" s="9"/>
      <c r="F45" s="9"/>
      <c r="G45" s="9"/>
      <c r="H45" s="9"/>
      <c r="I45" s="9"/>
      <c r="J45" s="98" t="s">
        <v>37</v>
      </c>
      <c r="K45" s="99"/>
      <c r="L45" s="98" t="s">
        <v>218</v>
      </c>
      <c r="M45" s="99"/>
      <c r="N45" s="98" t="s">
        <v>38</v>
      </c>
      <c r="O45" s="99"/>
      <c r="P45" s="98" t="s">
        <v>39</v>
      </c>
      <c r="Q45" s="99"/>
      <c r="R45" s="98" t="s">
        <v>40</v>
      </c>
      <c r="S45" s="99"/>
      <c r="T45" s="37"/>
      <c r="U45" s="37"/>
      <c r="V45" s="37"/>
      <c r="W45" s="37"/>
      <c r="X45" s="67"/>
      <c r="Y45" s="68"/>
      <c r="Z45" s="67"/>
      <c r="AA45" s="68"/>
      <c r="AB45" s="37"/>
      <c r="AC45" s="37"/>
      <c r="AD45" s="37"/>
      <c r="AE45" s="37"/>
      <c r="AF45" s="9"/>
      <c r="AG45" s="9"/>
      <c r="AH45" s="14"/>
    </row>
    <row r="46" spans="2:55" ht="12" customHeight="1" x14ac:dyDescent="0.25">
      <c r="B46" s="13"/>
      <c r="C46" s="9"/>
      <c r="D46" s="9"/>
      <c r="E46" s="9"/>
      <c r="F46" s="9"/>
      <c r="G46" s="9"/>
      <c r="H46" s="9"/>
      <c r="I46" s="9"/>
      <c r="J46" s="100"/>
      <c r="K46" s="101"/>
      <c r="L46" s="100"/>
      <c r="M46" s="101"/>
      <c r="N46" s="100"/>
      <c r="O46" s="101"/>
      <c r="P46" s="100"/>
      <c r="Q46" s="101"/>
      <c r="R46" s="100"/>
      <c r="S46" s="101"/>
      <c r="T46" s="37"/>
      <c r="U46" s="37"/>
      <c r="V46" s="37"/>
      <c r="W46" s="63" t="s">
        <v>41</v>
      </c>
      <c r="X46" s="64"/>
      <c r="Y46" s="63" t="s">
        <v>42</v>
      </c>
      <c r="Z46" s="64"/>
      <c r="AA46" s="37"/>
      <c r="AB46" s="37"/>
      <c r="AC46" s="37"/>
      <c r="AD46" s="37"/>
      <c r="AE46" s="37"/>
      <c r="AF46" s="9"/>
      <c r="AG46" s="9"/>
      <c r="AH46" s="14"/>
    </row>
    <row r="47" spans="2:55" ht="12" customHeight="1" x14ac:dyDescent="0.25">
      <c r="B47" s="13"/>
      <c r="C47" s="9"/>
      <c r="D47" s="9"/>
      <c r="E47" s="9"/>
      <c r="F47" s="9"/>
      <c r="G47" s="9"/>
      <c r="H47" s="9"/>
      <c r="I47" s="9"/>
      <c r="J47" s="102"/>
      <c r="K47" s="103"/>
      <c r="L47" s="102"/>
      <c r="M47" s="103"/>
      <c r="N47" s="102"/>
      <c r="O47" s="103"/>
      <c r="P47" s="102"/>
      <c r="Q47" s="103"/>
      <c r="R47" s="102"/>
      <c r="S47" s="103"/>
      <c r="T47" s="37"/>
      <c r="U47" s="104" t="s">
        <v>5</v>
      </c>
      <c r="V47" s="37"/>
      <c r="W47" s="65"/>
      <c r="X47" s="66"/>
      <c r="Y47" s="65"/>
      <c r="Z47" s="66"/>
      <c r="AA47" s="37"/>
      <c r="AB47" s="37"/>
      <c r="AC47" s="37"/>
      <c r="AD47" s="37"/>
      <c r="AE47" s="37"/>
      <c r="AF47" s="9"/>
      <c r="AG47" s="9"/>
      <c r="AH47" s="14"/>
    </row>
    <row r="48" spans="2:55" ht="12" customHeight="1" x14ac:dyDescent="0.25">
      <c r="B48" s="13"/>
      <c r="C48" s="9"/>
      <c r="D48" s="9"/>
      <c r="E48" s="9"/>
      <c r="F48" s="98" t="s">
        <v>43</v>
      </c>
      <c r="G48" s="99"/>
      <c r="H48" s="111" t="s">
        <v>44</v>
      </c>
      <c r="I48" s="112"/>
      <c r="J48" s="105" t="s">
        <v>184</v>
      </c>
      <c r="K48" s="106"/>
      <c r="L48" s="105" t="s">
        <v>182</v>
      </c>
      <c r="M48" s="106"/>
      <c r="N48" s="105" t="s">
        <v>183</v>
      </c>
      <c r="O48" s="106"/>
      <c r="P48" s="105" t="s">
        <v>185</v>
      </c>
      <c r="Q48" s="106"/>
      <c r="R48" s="105" t="s">
        <v>186</v>
      </c>
      <c r="S48" s="106"/>
      <c r="T48" s="37" t="s">
        <v>45</v>
      </c>
      <c r="U48" s="104"/>
      <c r="V48" s="37"/>
      <c r="W48" s="67"/>
      <c r="X48" s="68"/>
      <c r="Y48" s="67"/>
      <c r="Z48" s="68"/>
      <c r="AA48" s="37"/>
      <c r="AB48" s="37"/>
      <c r="AC48" s="1"/>
      <c r="AD48" s="37"/>
      <c r="AE48" s="37"/>
      <c r="AF48" s="9"/>
      <c r="AG48" s="9"/>
      <c r="AH48" s="14"/>
    </row>
    <row r="49" spans="2:34" ht="12" customHeight="1" x14ac:dyDescent="0.25">
      <c r="B49" s="13"/>
      <c r="C49" s="9"/>
      <c r="D49" s="9"/>
      <c r="E49" s="9"/>
      <c r="F49" s="100"/>
      <c r="G49" s="101"/>
      <c r="H49" s="111"/>
      <c r="I49" s="112"/>
      <c r="J49" s="107"/>
      <c r="K49" s="108"/>
      <c r="L49" s="107"/>
      <c r="M49" s="108"/>
      <c r="N49" s="107"/>
      <c r="O49" s="108"/>
      <c r="P49" s="107"/>
      <c r="Q49" s="108"/>
      <c r="R49" s="107"/>
      <c r="S49" s="108"/>
      <c r="T49" s="37"/>
      <c r="U49" s="104"/>
      <c r="V49" s="37"/>
      <c r="W49" s="63" t="s">
        <v>46</v>
      </c>
      <c r="X49" s="64"/>
      <c r="Y49" s="63" t="s">
        <v>47</v>
      </c>
      <c r="Z49" s="64"/>
      <c r="AA49" s="37"/>
      <c r="AB49" s="37"/>
      <c r="AC49" s="37"/>
      <c r="AD49" s="37"/>
      <c r="AE49" s="37"/>
      <c r="AF49" s="9"/>
      <c r="AG49" s="9"/>
      <c r="AH49" s="14"/>
    </row>
    <row r="50" spans="2:34" ht="12" customHeight="1" x14ac:dyDescent="0.25">
      <c r="B50" s="13"/>
      <c r="C50" s="9"/>
      <c r="D50" s="9"/>
      <c r="E50" s="9"/>
      <c r="F50" s="102"/>
      <c r="G50" s="103"/>
      <c r="H50" s="113"/>
      <c r="I50" s="114"/>
      <c r="J50" s="109"/>
      <c r="K50" s="110"/>
      <c r="L50" s="109"/>
      <c r="M50" s="110"/>
      <c r="N50" s="109"/>
      <c r="O50" s="110"/>
      <c r="P50" s="109"/>
      <c r="Q50" s="110"/>
      <c r="R50" s="109"/>
      <c r="S50" s="110"/>
      <c r="T50" s="37"/>
      <c r="U50" s="104"/>
      <c r="V50" s="37"/>
      <c r="W50" s="65"/>
      <c r="X50" s="66"/>
      <c r="Y50" s="65"/>
      <c r="Z50" s="66"/>
      <c r="AA50" s="37"/>
      <c r="AB50" s="37"/>
      <c r="AC50" s="1"/>
      <c r="AD50" s="37"/>
      <c r="AE50" s="37"/>
      <c r="AF50" s="9"/>
      <c r="AG50" s="9"/>
      <c r="AH50" s="14"/>
    </row>
    <row r="51" spans="2:34" ht="27" customHeight="1" x14ac:dyDescent="0.25">
      <c r="B51" s="13"/>
      <c r="C51" s="9"/>
      <c r="D51" s="37"/>
      <c r="E51" s="98" t="s">
        <v>48</v>
      </c>
      <c r="F51" s="99"/>
      <c r="G51" s="98" t="s">
        <v>49</v>
      </c>
      <c r="H51" s="99"/>
      <c r="I51" s="98" t="s">
        <v>50</v>
      </c>
      <c r="J51" s="99"/>
      <c r="K51" s="98" t="s">
        <v>51</v>
      </c>
      <c r="L51" s="99"/>
      <c r="M51" s="98" t="s">
        <v>52</v>
      </c>
      <c r="N51" s="99"/>
      <c r="O51" s="98" t="s">
        <v>53</v>
      </c>
      <c r="P51" s="99"/>
      <c r="Q51" s="98" t="s">
        <v>54</v>
      </c>
      <c r="R51" s="99"/>
      <c r="S51" s="9"/>
      <c r="T51" s="37"/>
      <c r="U51" s="37"/>
      <c r="V51" s="37"/>
      <c r="W51" s="67"/>
      <c r="X51" s="68"/>
      <c r="Y51" s="67"/>
      <c r="Z51" s="68"/>
      <c r="AA51" s="37"/>
      <c r="AB51" s="37"/>
      <c r="AC51" s="1"/>
      <c r="AD51" s="37"/>
      <c r="AE51" s="37"/>
      <c r="AF51" s="9"/>
      <c r="AG51" s="9"/>
      <c r="AH51" s="14"/>
    </row>
    <row r="52" spans="2:34" ht="12" customHeight="1" x14ac:dyDescent="0.25">
      <c r="B52" s="13"/>
      <c r="C52" s="9"/>
      <c r="D52" s="37"/>
      <c r="E52" s="100"/>
      <c r="F52" s="101"/>
      <c r="G52" s="100"/>
      <c r="H52" s="101"/>
      <c r="I52" s="100"/>
      <c r="J52" s="101"/>
      <c r="K52" s="100"/>
      <c r="L52" s="101"/>
      <c r="M52" s="100"/>
      <c r="N52" s="101"/>
      <c r="O52" s="100"/>
      <c r="P52" s="101"/>
      <c r="Q52" s="100"/>
      <c r="R52" s="101"/>
      <c r="S52" s="9"/>
      <c r="T52" s="104" t="s">
        <v>5</v>
      </c>
      <c r="U52" s="37"/>
      <c r="V52" s="63" t="s">
        <v>55</v>
      </c>
      <c r="W52" s="64"/>
      <c r="X52" s="63" t="s">
        <v>56</v>
      </c>
      <c r="Y52" s="64"/>
      <c r="Z52" s="37"/>
      <c r="AA52" s="37"/>
      <c r="AB52" s="37"/>
      <c r="AC52" s="1"/>
      <c r="AD52" s="37"/>
      <c r="AE52" s="37"/>
      <c r="AF52" s="9"/>
      <c r="AG52" s="9"/>
      <c r="AH52" s="14"/>
    </row>
    <row r="53" spans="2:34" ht="12" customHeight="1" x14ac:dyDescent="0.25">
      <c r="B53" s="13"/>
      <c r="C53" s="9"/>
      <c r="D53" s="37"/>
      <c r="E53" s="100"/>
      <c r="F53" s="101"/>
      <c r="G53" s="100"/>
      <c r="H53" s="101"/>
      <c r="I53" s="100"/>
      <c r="J53" s="101"/>
      <c r="K53" s="100"/>
      <c r="L53" s="101"/>
      <c r="M53" s="100"/>
      <c r="N53" s="101"/>
      <c r="O53" s="100"/>
      <c r="P53" s="101"/>
      <c r="Q53" s="100"/>
      <c r="R53" s="101"/>
      <c r="S53" s="9"/>
      <c r="T53" s="104"/>
      <c r="U53" s="37"/>
      <c r="V53" s="65"/>
      <c r="W53" s="66"/>
      <c r="X53" s="65"/>
      <c r="Y53" s="66"/>
      <c r="Z53" s="37"/>
      <c r="AA53" s="37"/>
      <c r="AB53" s="37"/>
      <c r="AC53" s="1"/>
      <c r="AD53" s="37"/>
      <c r="AE53" s="37"/>
      <c r="AF53" s="9"/>
      <c r="AG53" s="9"/>
      <c r="AH53" s="14"/>
    </row>
    <row r="54" spans="2:34" ht="12" customHeight="1" x14ac:dyDescent="0.25">
      <c r="B54" s="13"/>
      <c r="C54" s="9"/>
      <c r="D54" s="37"/>
      <c r="E54" s="102"/>
      <c r="F54" s="103"/>
      <c r="G54" s="102"/>
      <c r="H54" s="103"/>
      <c r="I54" s="102"/>
      <c r="J54" s="103"/>
      <c r="K54" s="102"/>
      <c r="L54" s="103"/>
      <c r="M54" s="102"/>
      <c r="N54" s="103"/>
      <c r="O54" s="102"/>
      <c r="P54" s="103"/>
      <c r="Q54" s="102"/>
      <c r="R54" s="103"/>
      <c r="S54" s="9"/>
      <c r="T54" s="104"/>
      <c r="U54" s="37"/>
      <c r="V54" s="65"/>
      <c r="W54" s="66"/>
      <c r="X54" s="65"/>
      <c r="Y54" s="66"/>
      <c r="Z54" s="37"/>
      <c r="AA54" s="37"/>
      <c r="AB54" s="37"/>
      <c r="AC54" s="1"/>
      <c r="AD54" s="37"/>
      <c r="AE54" s="37"/>
      <c r="AF54" s="9"/>
      <c r="AG54" s="9"/>
      <c r="AH54" s="14"/>
    </row>
    <row r="55" spans="2:34" ht="12" customHeight="1" x14ac:dyDescent="0.25">
      <c r="B55" s="13"/>
      <c r="C55" s="115"/>
      <c r="D55" s="98" t="s">
        <v>57</v>
      </c>
      <c r="E55" s="98" t="s">
        <v>58</v>
      </c>
      <c r="F55" s="99"/>
      <c r="G55" s="98" t="s">
        <v>59</v>
      </c>
      <c r="H55" s="99"/>
      <c r="I55" s="98" t="s">
        <v>60</v>
      </c>
      <c r="J55" s="99"/>
      <c r="K55" s="98" t="s">
        <v>61</v>
      </c>
      <c r="L55" s="99"/>
      <c r="M55" s="98" t="s">
        <v>62</v>
      </c>
      <c r="N55" s="99"/>
      <c r="O55" s="98" t="s">
        <v>63</v>
      </c>
      <c r="P55" s="99"/>
      <c r="Q55" s="98" t="s">
        <v>64</v>
      </c>
      <c r="R55" s="99"/>
      <c r="S55" s="9"/>
      <c r="T55" s="104"/>
      <c r="U55" s="37"/>
      <c r="V55" s="67"/>
      <c r="W55" s="68"/>
      <c r="X55" s="67"/>
      <c r="Y55" s="68"/>
      <c r="Z55" s="37"/>
      <c r="AA55" s="37"/>
      <c r="AB55" s="37"/>
      <c r="AC55" s="1"/>
      <c r="AD55" s="37"/>
      <c r="AE55" s="37"/>
      <c r="AF55" s="9"/>
      <c r="AG55" s="9"/>
      <c r="AH55" s="14"/>
    </row>
    <row r="56" spans="2:34" ht="12" customHeight="1" x14ac:dyDescent="0.25">
      <c r="B56" s="13"/>
      <c r="C56" s="115"/>
      <c r="D56" s="100"/>
      <c r="E56" s="100"/>
      <c r="F56" s="101"/>
      <c r="G56" s="100"/>
      <c r="H56" s="101"/>
      <c r="I56" s="100"/>
      <c r="J56" s="101"/>
      <c r="K56" s="100"/>
      <c r="L56" s="101"/>
      <c r="M56" s="100"/>
      <c r="N56" s="101"/>
      <c r="O56" s="100"/>
      <c r="P56" s="101"/>
      <c r="Q56" s="100"/>
      <c r="R56" s="101"/>
      <c r="S56" s="9"/>
      <c r="T56" s="104"/>
      <c r="U56" s="37"/>
      <c r="V56" s="98" t="s">
        <v>65</v>
      </c>
      <c r="W56" s="99"/>
      <c r="X56" s="63" t="s">
        <v>66</v>
      </c>
      <c r="Y56" s="64"/>
      <c r="Z56" s="37"/>
      <c r="AA56" s="9"/>
      <c r="AB56" s="9"/>
      <c r="AD56" s="9"/>
      <c r="AE56" s="9"/>
      <c r="AF56" s="9"/>
      <c r="AG56" s="9"/>
      <c r="AH56" s="14"/>
    </row>
    <row r="57" spans="2:34" ht="12" customHeight="1" x14ac:dyDescent="0.25">
      <c r="B57" s="13"/>
      <c r="C57" s="115"/>
      <c r="D57" s="102"/>
      <c r="E57" s="102"/>
      <c r="F57" s="103"/>
      <c r="G57" s="102"/>
      <c r="H57" s="103"/>
      <c r="I57" s="102"/>
      <c r="J57" s="103"/>
      <c r="K57" s="102"/>
      <c r="L57" s="103"/>
      <c r="M57" s="102"/>
      <c r="N57" s="103"/>
      <c r="O57" s="102"/>
      <c r="P57" s="103"/>
      <c r="Q57" s="102"/>
      <c r="R57" s="103"/>
      <c r="S57" s="39"/>
      <c r="T57" s="37"/>
      <c r="U57" s="37"/>
      <c r="V57" s="100"/>
      <c r="W57" s="101"/>
      <c r="X57" s="65"/>
      <c r="Y57" s="66"/>
      <c r="Z57" s="37"/>
      <c r="AA57" s="9"/>
      <c r="AB57" s="9"/>
      <c r="AC57" s="9"/>
      <c r="AD57" s="9"/>
      <c r="AE57" s="9"/>
      <c r="AF57" s="9"/>
      <c r="AG57" s="9"/>
      <c r="AH57" s="14"/>
    </row>
    <row r="58" spans="2:34" ht="12" customHeight="1" x14ac:dyDescent="0.25">
      <c r="B58" s="13"/>
      <c r="C58" s="9"/>
      <c r="D58" s="63" t="s">
        <v>67</v>
      </c>
      <c r="E58" s="64"/>
      <c r="F58" s="98" t="s">
        <v>68</v>
      </c>
      <c r="G58" s="99"/>
      <c r="H58" s="98" t="s">
        <v>69</v>
      </c>
      <c r="I58" s="99"/>
      <c r="J58" s="98" t="s">
        <v>70</v>
      </c>
      <c r="K58" s="99"/>
      <c r="L58" s="98" t="s">
        <v>71</v>
      </c>
      <c r="M58" s="99"/>
      <c r="N58" s="63" t="s">
        <v>72</v>
      </c>
      <c r="O58" s="64"/>
      <c r="P58" s="98" t="s">
        <v>73</v>
      </c>
      <c r="Q58" s="99"/>
      <c r="R58" s="37"/>
      <c r="S58" s="9"/>
      <c r="T58" s="37"/>
      <c r="U58" s="37"/>
      <c r="V58" s="102"/>
      <c r="W58" s="103"/>
      <c r="X58" s="67"/>
      <c r="Y58" s="68"/>
      <c r="Z58" s="37"/>
      <c r="AA58" s="9"/>
      <c r="AB58" s="9"/>
      <c r="AC58" s="9"/>
      <c r="AD58" s="9"/>
      <c r="AE58" s="9"/>
      <c r="AF58" s="9"/>
      <c r="AG58" s="9"/>
      <c r="AH58" s="14"/>
    </row>
    <row r="59" spans="2:34" ht="12" customHeight="1" x14ac:dyDescent="0.25">
      <c r="B59" s="13"/>
      <c r="C59" s="9"/>
      <c r="D59" s="65"/>
      <c r="E59" s="66"/>
      <c r="F59" s="100"/>
      <c r="G59" s="101"/>
      <c r="H59" s="100"/>
      <c r="I59" s="101"/>
      <c r="J59" s="100"/>
      <c r="K59" s="101"/>
      <c r="L59" s="100"/>
      <c r="M59" s="101"/>
      <c r="N59" s="65"/>
      <c r="O59" s="66"/>
      <c r="P59" s="100"/>
      <c r="Q59" s="101"/>
      <c r="R59" s="37"/>
      <c r="S59" s="116">
        <v>519</v>
      </c>
      <c r="T59" s="37"/>
      <c r="U59" s="98" t="s">
        <v>214</v>
      </c>
      <c r="V59" s="99"/>
      <c r="W59" s="98" t="s">
        <v>74</v>
      </c>
      <c r="X59" s="99"/>
      <c r="Y59" s="37"/>
      <c r="Z59" s="37"/>
      <c r="AA59" s="9"/>
      <c r="AB59" s="9"/>
      <c r="AC59" s="9"/>
      <c r="AD59" s="9"/>
      <c r="AE59" s="9"/>
      <c r="AF59" s="9"/>
      <c r="AG59" s="9"/>
      <c r="AH59" s="14"/>
    </row>
    <row r="60" spans="2:34" ht="12" customHeight="1" x14ac:dyDescent="0.25">
      <c r="B60" s="13"/>
      <c r="C60" s="9"/>
      <c r="D60" s="67"/>
      <c r="E60" s="68"/>
      <c r="F60" s="100"/>
      <c r="G60" s="101"/>
      <c r="H60" s="100"/>
      <c r="I60" s="101"/>
      <c r="J60" s="102"/>
      <c r="K60" s="103"/>
      <c r="L60" s="102"/>
      <c r="M60" s="103"/>
      <c r="N60" s="67"/>
      <c r="O60" s="68"/>
      <c r="P60" s="102"/>
      <c r="Q60" s="103"/>
      <c r="R60" s="37"/>
      <c r="S60" s="116"/>
      <c r="T60" s="37"/>
      <c r="U60" s="100"/>
      <c r="V60" s="101"/>
      <c r="W60" s="100"/>
      <c r="X60" s="101"/>
      <c r="Y60" s="37"/>
      <c r="Z60" s="37"/>
      <c r="AA60" s="9"/>
      <c r="AB60" s="9"/>
      <c r="AC60" s="9"/>
      <c r="AD60" s="9"/>
      <c r="AE60" s="9"/>
      <c r="AF60" s="9"/>
      <c r="AG60" s="9"/>
      <c r="AH60" s="14"/>
    </row>
    <row r="61" spans="2:34" ht="12" customHeight="1" x14ac:dyDescent="0.25">
      <c r="B61" s="13"/>
      <c r="C61" s="9"/>
      <c r="D61" s="98" t="s">
        <v>75</v>
      </c>
      <c r="E61" s="99"/>
      <c r="F61" s="98" t="s">
        <v>76</v>
      </c>
      <c r="G61" s="99"/>
      <c r="H61" s="98" t="s">
        <v>77</v>
      </c>
      <c r="I61" s="99"/>
      <c r="J61" s="98" t="s">
        <v>78</v>
      </c>
      <c r="K61" s="101"/>
      <c r="L61" s="105" t="s">
        <v>215</v>
      </c>
      <c r="M61" s="108"/>
      <c r="N61" s="98" t="s">
        <v>79</v>
      </c>
      <c r="O61" s="101"/>
      <c r="P61" s="100" t="s">
        <v>80</v>
      </c>
      <c r="Q61" s="101"/>
      <c r="R61" s="37"/>
      <c r="S61" s="116"/>
      <c r="T61" s="37"/>
      <c r="U61" s="102"/>
      <c r="V61" s="103"/>
      <c r="W61" s="102"/>
      <c r="X61" s="103"/>
      <c r="Y61" s="37"/>
      <c r="Z61" s="37"/>
      <c r="AA61" s="9"/>
      <c r="AB61" s="9"/>
      <c r="AC61" s="9"/>
      <c r="AD61" s="9"/>
      <c r="AE61" s="9"/>
      <c r="AF61" s="9"/>
      <c r="AG61" s="9"/>
      <c r="AH61" s="14"/>
    </row>
    <row r="62" spans="2:34" ht="12" customHeight="1" x14ac:dyDescent="0.25">
      <c r="B62" s="13"/>
      <c r="C62" s="9"/>
      <c r="D62" s="100"/>
      <c r="E62" s="101"/>
      <c r="F62" s="100"/>
      <c r="G62" s="101"/>
      <c r="H62" s="100"/>
      <c r="I62" s="101"/>
      <c r="J62" s="100"/>
      <c r="K62" s="101"/>
      <c r="L62" s="107"/>
      <c r="M62" s="108"/>
      <c r="N62" s="100"/>
      <c r="O62" s="101"/>
      <c r="P62" s="100"/>
      <c r="Q62" s="101"/>
      <c r="R62" s="37"/>
      <c r="S62" s="116"/>
      <c r="T62" s="37"/>
      <c r="U62" s="98" t="s">
        <v>81</v>
      </c>
      <c r="V62" s="99"/>
      <c r="W62" s="98" t="s">
        <v>82</v>
      </c>
      <c r="X62" s="99"/>
      <c r="Y62" s="37"/>
      <c r="Z62" s="37"/>
      <c r="AA62" s="9"/>
      <c r="AB62" s="9"/>
      <c r="AC62" s="9"/>
      <c r="AD62" s="9"/>
      <c r="AE62" s="9"/>
      <c r="AF62" s="9"/>
      <c r="AG62" s="9"/>
      <c r="AH62" s="14"/>
    </row>
    <row r="63" spans="2:34" ht="12" customHeight="1" x14ac:dyDescent="0.25">
      <c r="B63" s="13"/>
      <c r="C63" s="9"/>
      <c r="D63" s="102"/>
      <c r="E63" s="103"/>
      <c r="F63" s="102"/>
      <c r="G63" s="103"/>
      <c r="H63" s="100"/>
      <c r="I63" s="101"/>
      <c r="J63" s="100"/>
      <c r="K63" s="101"/>
      <c r="L63" s="107"/>
      <c r="M63" s="108"/>
      <c r="N63" s="100"/>
      <c r="O63" s="101"/>
      <c r="P63" s="102"/>
      <c r="Q63" s="103"/>
      <c r="R63" s="37"/>
      <c r="S63" s="9"/>
      <c r="T63" s="37"/>
      <c r="U63" s="100"/>
      <c r="V63" s="101"/>
      <c r="W63" s="100"/>
      <c r="X63" s="101"/>
      <c r="Y63" s="37"/>
      <c r="Z63" s="37"/>
      <c r="AA63" s="9"/>
      <c r="AB63" s="9"/>
      <c r="AC63" s="9"/>
      <c r="AD63" s="9"/>
      <c r="AE63" s="9"/>
      <c r="AF63" s="9"/>
      <c r="AG63" s="9"/>
      <c r="AH63" s="14"/>
    </row>
    <row r="64" spans="2:34" ht="12" customHeight="1" x14ac:dyDescent="0.25">
      <c r="B64" s="13"/>
      <c r="C64" s="9"/>
      <c r="D64" s="37"/>
      <c r="E64" s="37"/>
      <c r="F64" s="37"/>
      <c r="G64" s="65" t="s">
        <v>83</v>
      </c>
      <c r="H64" s="64"/>
      <c r="I64" s="63" t="s">
        <v>84</v>
      </c>
      <c r="J64" s="64"/>
      <c r="K64" s="63" t="s">
        <v>85</v>
      </c>
      <c r="L64" s="64"/>
      <c r="M64" s="63" t="s">
        <v>86</v>
      </c>
      <c r="N64" s="64"/>
      <c r="O64" s="117" t="s">
        <v>87</v>
      </c>
      <c r="P64" s="118"/>
      <c r="Q64" s="37"/>
      <c r="R64" s="9"/>
      <c r="S64" s="9"/>
      <c r="T64" s="37"/>
      <c r="U64" s="102"/>
      <c r="V64" s="103"/>
      <c r="W64" s="102"/>
      <c r="X64" s="103"/>
      <c r="Y64" s="37"/>
      <c r="Z64" s="37"/>
      <c r="AA64" s="9"/>
      <c r="AB64" s="9"/>
      <c r="AC64" s="9"/>
      <c r="AD64" s="9"/>
      <c r="AE64" s="9"/>
      <c r="AF64" s="9"/>
      <c r="AG64" s="9"/>
      <c r="AH64" s="14"/>
    </row>
    <row r="65" spans="1:34" ht="12" customHeight="1" x14ac:dyDescent="0.25">
      <c r="B65" s="13"/>
      <c r="C65" s="9"/>
      <c r="D65" s="37"/>
      <c r="E65" s="37"/>
      <c r="F65" s="37"/>
      <c r="G65" s="65"/>
      <c r="H65" s="66"/>
      <c r="I65" s="65"/>
      <c r="J65" s="66"/>
      <c r="K65" s="65"/>
      <c r="L65" s="66"/>
      <c r="M65" s="65"/>
      <c r="N65" s="66"/>
      <c r="O65" s="119"/>
      <c r="P65" s="118"/>
      <c r="Q65" s="37"/>
      <c r="R65" s="9"/>
      <c r="S65" s="9"/>
      <c r="T65" s="98" t="s">
        <v>88</v>
      </c>
      <c r="U65" s="99"/>
      <c r="V65" s="98" t="s">
        <v>89</v>
      </c>
      <c r="W65" s="99"/>
      <c r="X65" s="37"/>
      <c r="Y65" s="37"/>
      <c r="Z65" s="37"/>
      <c r="AA65" s="9"/>
      <c r="AB65" s="9"/>
      <c r="AC65" s="9"/>
      <c r="AD65" s="9"/>
      <c r="AE65" s="9"/>
      <c r="AF65" s="9"/>
      <c r="AG65" s="9"/>
      <c r="AH65" s="14"/>
    </row>
    <row r="66" spans="1:34" ht="12" customHeight="1" x14ac:dyDescent="0.25">
      <c r="B66" s="13"/>
      <c r="C66" s="9"/>
      <c r="D66" s="37"/>
      <c r="E66" s="37"/>
      <c r="F66" s="37"/>
      <c r="G66" s="67"/>
      <c r="H66" s="68"/>
      <c r="I66" s="67"/>
      <c r="J66" s="68"/>
      <c r="K66" s="67"/>
      <c r="L66" s="68"/>
      <c r="M66" s="67"/>
      <c r="N66" s="68"/>
      <c r="O66" s="120"/>
      <c r="P66" s="121"/>
      <c r="Q66" s="37"/>
      <c r="R66" s="9"/>
      <c r="S66" s="9"/>
      <c r="T66" s="100"/>
      <c r="U66" s="101"/>
      <c r="V66" s="100"/>
      <c r="W66" s="101"/>
      <c r="X66" s="37"/>
      <c r="Y66" s="37"/>
      <c r="Z66" s="37"/>
      <c r="AA66" s="9"/>
      <c r="AB66" s="9"/>
      <c r="AC66" s="9"/>
      <c r="AD66" s="9"/>
      <c r="AE66" s="9"/>
      <c r="AF66" s="9"/>
      <c r="AG66" s="9"/>
      <c r="AH66" s="14"/>
    </row>
    <row r="67" spans="1:34" ht="12" customHeight="1" x14ac:dyDescent="0.25">
      <c r="B67" s="13"/>
      <c r="C67" s="9"/>
      <c r="D67" s="37"/>
      <c r="E67" s="37"/>
      <c r="F67" s="37"/>
      <c r="G67" s="63" t="s">
        <v>90</v>
      </c>
      <c r="H67" s="64"/>
      <c r="I67" s="63" t="s">
        <v>91</v>
      </c>
      <c r="J67" s="64"/>
      <c r="K67" s="63" t="s">
        <v>92</v>
      </c>
      <c r="L67" s="64"/>
      <c r="M67" s="63" t="s">
        <v>93</v>
      </c>
      <c r="N67" s="64"/>
      <c r="O67" s="63" t="s">
        <v>94</v>
      </c>
      <c r="P67" s="64"/>
      <c r="Q67" s="37"/>
      <c r="R67" s="9"/>
      <c r="S67" s="9"/>
      <c r="T67" s="102"/>
      <c r="U67" s="103"/>
      <c r="V67" s="102"/>
      <c r="W67" s="103"/>
      <c r="X67" s="37"/>
      <c r="Y67" s="37"/>
      <c r="Z67" s="37"/>
      <c r="AA67" s="9"/>
      <c r="AB67" s="9"/>
      <c r="AC67" s="9"/>
      <c r="AD67" s="9"/>
      <c r="AE67" s="9"/>
      <c r="AF67" s="9"/>
      <c r="AG67" s="9"/>
      <c r="AH67" s="14"/>
    </row>
    <row r="68" spans="1:34" ht="12" customHeight="1" x14ac:dyDescent="0.25">
      <c r="B68" s="13"/>
      <c r="C68" s="9"/>
      <c r="D68" s="37"/>
      <c r="E68" s="37"/>
      <c r="F68" s="37"/>
      <c r="G68" s="65"/>
      <c r="H68" s="66"/>
      <c r="I68" s="65"/>
      <c r="J68" s="66"/>
      <c r="K68" s="65"/>
      <c r="L68" s="66"/>
      <c r="M68" s="65"/>
      <c r="N68" s="66"/>
      <c r="O68" s="65"/>
      <c r="P68" s="66"/>
      <c r="Q68" s="37"/>
      <c r="R68" s="9"/>
      <c r="S68" s="9"/>
      <c r="T68" s="98" t="s">
        <v>95</v>
      </c>
      <c r="U68" s="99"/>
      <c r="V68" s="37"/>
      <c r="W68" s="37"/>
      <c r="X68" s="37"/>
      <c r="Y68" s="37"/>
      <c r="Z68" s="37"/>
      <c r="AA68" s="9"/>
      <c r="AB68" s="9"/>
      <c r="AC68" s="9"/>
      <c r="AD68" s="9"/>
      <c r="AE68" s="9"/>
      <c r="AF68" s="9"/>
      <c r="AG68" s="9"/>
      <c r="AH68" s="14"/>
    </row>
    <row r="69" spans="1:34" ht="12" customHeight="1" x14ac:dyDescent="0.25">
      <c r="B69" s="13"/>
      <c r="C69" s="9"/>
      <c r="D69" s="37"/>
      <c r="E69" s="37"/>
      <c r="F69" s="37"/>
      <c r="G69" s="67"/>
      <c r="H69" s="68"/>
      <c r="I69" s="67"/>
      <c r="J69" s="68"/>
      <c r="K69" s="67"/>
      <c r="L69" s="68"/>
      <c r="M69" s="67"/>
      <c r="N69" s="68"/>
      <c r="O69" s="67"/>
      <c r="P69" s="68"/>
      <c r="Q69" s="37"/>
      <c r="R69" s="9"/>
      <c r="S69" s="9"/>
      <c r="T69" s="100"/>
      <c r="U69" s="101"/>
      <c r="V69" s="37"/>
      <c r="W69" s="37"/>
      <c r="X69" s="37"/>
      <c r="Y69" s="37"/>
      <c r="Z69" s="37"/>
      <c r="AA69" s="9"/>
      <c r="AB69" s="9"/>
      <c r="AC69" s="9"/>
      <c r="AD69" s="9"/>
      <c r="AE69" s="9"/>
      <c r="AF69" s="9"/>
      <c r="AG69" s="9"/>
      <c r="AH69" s="14"/>
    </row>
    <row r="70" spans="1:34" ht="12" customHeight="1" x14ac:dyDescent="0.25">
      <c r="B70" s="13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40"/>
      <c r="R70" s="9"/>
      <c r="S70" s="9"/>
      <c r="T70" s="102"/>
      <c r="U70" s="103"/>
      <c r="V70" s="37"/>
      <c r="W70" s="37"/>
      <c r="X70" s="37"/>
      <c r="Y70" s="37"/>
      <c r="Z70" s="37"/>
      <c r="AA70" s="9"/>
      <c r="AB70" s="9"/>
      <c r="AC70" s="9"/>
      <c r="AD70" s="9"/>
      <c r="AE70" s="9"/>
      <c r="AF70" s="9"/>
      <c r="AG70" s="9"/>
      <c r="AH70" s="14"/>
    </row>
    <row r="71" spans="1:34" ht="12" customHeight="1" thickBot="1" x14ac:dyDescent="0.3">
      <c r="B71" s="10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2"/>
    </row>
    <row r="73" spans="1:34" ht="12.6" customHeight="1" x14ac:dyDescent="0.25">
      <c r="A73" s="38" t="s">
        <v>0</v>
      </c>
      <c r="B73" t="s">
        <v>216</v>
      </c>
      <c r="C73" s="4"/>
      <c r="D73" s="4"/>
      <c r="E73" s="4"/>
    </row>
    <row r="74" spans="1:34" ht="15.6" customHeight="1" x14ac:dyDescent="0.25">
      <c r="A74" t="s">
        <v>223</v>
      </c>
      <c r="B74" t="s">
        <v>219</v>
      </c>
      <c r="D74" s="4"/>
    </row>
    <row r="75" spans="1:34" ht="12" customHeight="1" x14ac:dyDescent="0.25">
      <c r="A75" t="s">
        <v>220</v>
      </c>
      <c r="B75" t="s">
        <v>221</v>
      </c>
      <c r="D75" s="4"/>
      <c r="E75" s="4"/>
    </row>
    <row r="76" spans="1:34" ht="12" customHeight="1" x14ac:dyDescent="0.25">
      <c r="A76" s="38" t="s">
        <v>222</v>
      </c>
      <c r="B76" t="s">
        <v>224</v>
      </c>
      <c r="C76" t="s">
        <v>225</v>
      </c>
      <c r="D76" s="4"/>
      <c r="E76" s="4"/>
    </row>
    <row r="77" spans="1:34" ht="12" customHeight="1" x14ac:dyDescent="0.25">
      <c r="A77" s="43"/>
    </row>
    <row r="78" spans="1:34" ht="12" customHeight="1" x14ac:dyDescent="0.25">
      <c r="A78" s="43"/>
    </row>
    <row r="81" spans="1:1" ht="12" customHeight="1" x14ac:dyDescent="0.25">
      <c r="A81" s="43"/>
    </row>
    <row r="84" spans="1:1" ht="12" customHeight="1" x14ac:dyDescent="0.25">
      <c r="A84" s="43"/>
    </row>
    <row r="85" spans="1:1" ht="12" customHeight="1" x14ac:dyDescent="0.25">
      <c r="A85" s="43"/>
    </row>
    <row r="87" spans="1:1" ht="12" customHeight="1" x14ac:dyDescent="0.25">
      <c r="A87" s="43"/>
    </row>
    <row r="91" spans="1:1" ht="12" customHeight="1" x14ac:dyDescent="0.25">
      <c r="A91" s="43"/>
    </row>
    <row r="92" spans="1:1" ht="12" customHeight="1" x14ac:dyDescent="0.25">
      <c r="A92" s="43"/>
    </row>
    <row r="93" spans="1:1" ht="12" customHeight="1" x14ac:dyDescent="0.25">
      <c r="A93" s="43"/>
    </row>
    <row r="94" spans="1:1" ht="12" customHeight="1" x14ac:dyDescent="0.25">
      <c r="A94" s="43"/>
    </row>
    <row r="98" spans="1:1" ht="12" customHeight="1" x14ac:dyDescent="0.25">
      <c r="A98" s="43"/>
    </row>
    <row r="100" spans="1:1" ht="12" customHeight="1" x14ac:dyDescent="0.25">
      <c r="A100" s="43"/>
    </row>
    <row r="101" spans="1:1" ht="12" customHeight="1" x14ac:dyDescent="0.25">
      <c r="A101" s="49"/>
    </row>
    <row r="102" spans="1:1" ht="12" customHeight="1" x14ac:dyDescent="0.25">
      <c r="A102" s="43"/>
    </row>
    <row r="103" spans="1:1" ht="12" customHeight="1" x14ac:dyDescent="0.25">
      <c r="A103" s="43"/>
    </row>
    <row r="104" spans="1:1" ht="12" customHeight="1" x14ac:dyDescent="0.25">
      <c r="A104" s="43"/>
    </row>
    <row r="106" spans="1:1" ht="12" customHeight="1" x14ac:dyDescent="0.25">
      <c r="A106" s="43"/>
    </row>
    <row r="120" spans="1:1" ht="12" customHeight="1" x14ac:dyDescent="0.25">
      <c r="A120" s="43"/>
    </row>
  </sheetData>
  <mergeCells count="132">
    <mergeCell ref="V65:W67"/>
    <mergeCell ref="G67:H69"/>
    <mergeCell ref="I67:J69"/>
    <mergeCell ref="K67:L69"/>
    <mergeCell ref="M67:N69"/>
    <mergeCell ref="O67:P69"/>
    <mergeCell ref="T68:U70"/>
    <mergeCell ref="N61:O63"/>
    <mergeCell ref="P61:Q63"/>
    <mergeCell ref="U62:V64"/>
    <mergeCell ref="W62:X64"/>
    <mergeCell ref="G64:H66"/>
    <mergeCell ref="I64:J66"/>
    <mergeCell ref="K64:L66"/>
    <mergeCell ref="M64:N66"/>
    <mergeCell ref="O64:P66"/>
    <mergeCell ref="T65:U67"/>
    <mergeCell ref="X56:Y58"/>
    <mergeCell ref="D58:E60"/>
    <mergeCell ref="F58:G60"/>
    <mergeCell ref="H58:I60"/>
    <mergeCell ref="J58:K60"/>
    <mergeCell ref="L58:M60"/>
    <mergeCell ref="N58:O60"/>
    <mergeCell ref="P58:Q60"/>
    <mergeCell ref="S59:S62"/>
    <mergeCell ref="U59:V61"/>
    <mergeCell ref="W59:X61"/>
    <mergeCell ref="D61:E63"/>
    <mergeCell ref="F61:G63"/>
    <mergeCell ref="H61:I63"/>
    <mergeCell ref="J61:K63"/>
    <mergeCell ref="L61:M63"/>
    <mergeCell ref="C55:C57"/>
    <mergeCell ref="D55:D57"/>
    <mergeCell ref="E55:F57"/>
    <mergeCell ref="G55:H57"/>
    <mergeCell ref="I55:J57"/>
    <mergeCell ref="K55:L57"/>
    <mergeCell ref="E51:F54"/>
    <mergeCell ref="G51:H54"/>
    <mergeCell ref="I51:J54"/>
    <mergeCell ref="K51:L54"/>
    <mergeCell ref="R48:S50"/>
    <mergeCell ref="W49:X51"/>
    <mergeCell ref="Y49:Z51"/>
    <mergeCell ref="X40:Y42"/>
    <mergeCell ref="Z40:AA42"/>
    <mergeCell ref="F48:G50"/>
    <mergeCell ref="H48:I50"/>
    <mergeCell ref="J48:K50"/>
    <mergeCell ref="L48:M50"/>
    <mergeCell ref="N48:O50"/>
    <mergeCell ref="P48:Q50"/>
    <mergeCell ref="L45:M47"/>
    <mergeCell ref="N45:O47"/>
    <mergeCell ref="P45:Q47"/>
    <mergeCell ref="Q51:R54"/>
    <mergeCell ref="T52:T56"/>
    <mergeCell ref="V52:W55"/>
    <mergeCell ref="X52:Y55"/>
    <mergeCell ref="M51:N54"/>
    <mergeCell ref="O51:P54"/>
    <mergeCell ref="M55:N57"/>
    <mergeCell ref="O55:P57"/>
    <mergeCell ref="Q55:R57"/>
    <mergeCell ref="V56:W58"/>
    <mergeCell ref="AC34:AD36"/>
    <mergeCell ref="W35:W38"/>
    <mergeCell ref="K42:L44"/>
    <mergeCell ref="M42:N44"/>
    <mergeCell ref="O42:P44"/>
    <mergeCell ref="Q42:R44"/>
    <mergeCell ref="S42:T44"/>
    <mergeCell ref="X43:Y45"/>
    <mergeCell ref="Z43:AA45"/>
    <mergeCell ref="J45:K47"/>
    <mergeCell ref="P36:Q38"/>
    <mergeCell ref="R36:S38"/>
    <mergeCell ref="T36:U38"/>
    <mergeCell ref="Y37:Z39"/>
    <mergeCell ref="AA37:AB39"/>
    <mergeCell ref="M39:N41"/>
    <mergeCell ref="O39:P41"/>
    <mergeCell ref="Q39:R41"/>
    <mergeCell ref="S39:T41"/>
    <mergeCell ref="V40:V43"/>
    <mergeCell ref="R45:S47"/>
    <mergeCell ref="W46:X48"/>
    <mergeCell ref="Y46:Z48"/>
    <mergeCell ref="U47:U50"/>
    <mergeCell ref="N27:Q27"/>
    <mergeCell ref="AK27:BC27"/>
    <mergeCell ref="Z28:AA30"/>
    <mergeCell ref="AB28:AC30"/>
    <mergeCell ref="AD28:AE30"/>
    <mergeCell ref="AK28:BC28"/>
    <mergeCell ref="AK29:BC29"/>
    <mergeCell ref="X30:X32"/>
    <mergeCell ref="AK30:BC30"/>
    <mergeCell ref="Z31:AA33"/>
    <mergeCell ref="Y25:Y27"/>
    <mergeCell ref="AA25:AB27"/>
    <mergeCell ref="AC25:AD27"/>
    <mergeCell ref="AE25:AF27"/>
    <mergeCell ref="AK25:BC25"/>
    <mergeCell ref="AK26:BC26"/>
    <mergeCell ref="AB31:AC33"/>
    <mergeCell ref="AD31:AE33"/>
    <mergeCell ref="AK31:BC31"/>
    <mergeCell ref="AK32:BC32"/>
    <mergeCell ref="R33:S35"/>
    <mergeCell ref="T33:U35"/>
    <mergeCell ref="Y34:Z36"/>
    <mergeCell ref="AA34:AB36"/>
    <mergeCell ref="C22:I22"/>
    <mergeCell ref="AD22:AE24"/>
    <mergeCell ref="AF22:AG24"/>
    <mergeCell ref="AK22:AY22"/>
    <mergeCell ref="AK23:BC23"/>
    <mergeCell ref="AK24:BC24"/>
    <mergeCell ref="A4:A17"/>
    <mergeCell ref="B4:B6"/>
    <mergeCell ref="C4:C6"/>
    <mergeCell ref="D4:D17"/>
    <mergeCell ref="B9:B17"/>
    <mergeCell ref="C9:C17"/>
    <mergeCell ref="AY4:AY6"/>
    <mergeCell ref="AZ4:AZ6"/>
    <mergeCell ref="BA4:BA6"/>
    <mergeCell ref="BB4:BB6"/>
    <mergeCell ref="BC4:BC6"/>
  </mergeCells>
  <phoneticPr fontId="4" type="noConversion"/>
  <conditionalFormatting sqref="E17:AA17 E16:AB16 AC17 AD16:BG17 E15:BG15 E14:I14 K14:L14 N14:P14 M10 R14:X14 Z14:BG14">
    <cfRule type="duplicateValues" dxfId="14" priority="17"/>
  </conditionalFormatting>
  <conditionalFormatting sqref="E4:AO6">
    <cfRule type="duplicateValues" dxfId="13" priority="372"/>
  </conditionalFormatting>
  <conditionalFormatting sqref="E4:AX6">
    <cfRule type="duplicateValues" dxfId="12" priority="373"/>
  </conditionalFormatting>
  <conditionalFormatting sqref="L11:M11 L10 K12:P13 N10:Q11 S12:BO12 Q12:Q14 S13:BP13 S9:S11 R12:R13 Z11:BO11 U9:BQ9 T10:X11 Z10:BQ10 L9:R9 E12:I13 E9:E11 G9:K11">
    <cfRule type="duplicateValues" dxfId="11" priority="328"/>
  </conditionalFormatting>
  <conditionalFormatting sqref="Y12 R9 P9 Y9">
    <cfRule type="duplicateValues" dxfId="10" priority="1"/>
    <cfRule type="duplicateValues" dxfId="9" priority="2"/>
    <cfRule type="duplicateValues" dxfId="8" priority="3"/>
  </conditionalFormatting>
  <conditionalFormatting sqref="Y14">
    <cfRule type="duplicateValues" dxfId="7" priority="4"/>
    <cfRule type="duplicateValues" dxfId="6" priority="5"/>
    <cfRule type="duplicateValues" dxfId="5" priority="6"/>
  </conditionalFormatting>
  <conditionalFormatting sqref="AP16:CS17 AP15:BX15 BZ15:CS15 AP14:CS14 N9:N11 K12:K13 E12:I13 E9:E11 G9:K11">
    <cfRule type="duplicateValues" dxfId="4" priority="361"/>
  </conditionalFormatting>
  <conditionalFormatting sqref="AP16:DR17 AP15:BX15 BZ15:DR15 AP14:DR14 AG9:AJ11 AM9:AM11 L11:M11 L10 K12:P13 N10:Q11 Q12:Q14 S9:S11 R12:AJ13 U9:AE9 T10:X11 Z10:AE11 L9:R9 E12:I13 E9:E11 G9:K11">
    <cfRule type="duplicateValues" dxfId="3" priority="370"/>
    <cfRule type="duplicateValues" dxfId="2" priority="371"/>
  </conditionalFormatting>
  <conditionalFormatting sqref="DS14:EP17 AK9:AL11 AK13:BP13 AK12:BO12 AN11:BO11 AN9:BQ10">
    <cfRule type="duplicateValues" dxfId="1" priority="12"/>
    <cfRule type="duplicateValues" dxfId="0" priority="13"/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A1BFAC86F21246A832826D14AA3AFF" ma:contentTypeVersion="4" ma:contentTypeDescription="Create a new document." ma:contentTypeScope="" ma:versionID="6023c288d4dcf63cd703bdde8ae6bf78">
  <xsd:schema xmlns:xsd="http://www.w3.org/2001/XMLSchema" xmlns:xs="http://www.w3.org/2001/XMLSchema" xmlns:p="http://schemas.microsoft.com/office/2006/metadata/properties" xmlns:ns2="2e2f6c18-6364-4037-8040-084a9ffa3417" targetNamespace="http://schemas.microsoft.com/office/2006/metadata/properties" ma:root="true" ma:fieldsID="23d3b839015f0dc11402f49e271d3dc5" ns2:_="">
    <xsd:import namespace="2e2f6c18-6364-4037-8040-084a9ffa34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f6c18-6364-4037-8040-084a9ffa34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73EEAD-1973-4ABE-94AF-D65C4A62F0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2f6c18-6364-4037-8040-084a9ffa34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1E0611-781E-4498-9E77-0CC4B1B7C398}">
  <ds:schemaRefs>
    <ds:schemaRef ds:uri="http://purl.org/dc/elements/1.1/"/>
    <ds:schemaRef ds:uri="http://schemas.openxmlformats.org/package/2006/metadata/core-properties"/>
    <ds:schemaRef ds:uri="http://purl.org/dc/dcmitype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2e2f6c18-6364-4037-8040-084a9ffa341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2191A00-A1FA-440E-B383-8DBD2407E5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Grass Cutting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 User</dc:creator>
  <cp:lastModifiedBy>Tumelo Mangole</cp:lastModifiedBy>
  <cp:lastPrinted>2025-12-26T06:43:14Z</cp:lastPrinted>
  <dcterms:created xsi:type="dcterms:W3CDTF">2012-05-22T16:04:06Z</dcterms:created>
  <dcterms:modified xsi:type="dcterms:W3CDTF">2026-01-13T06:47:54Z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0x010100AEA1BFAC86F21246A832826D14AA3AFF</vt:lpwstr>
  </property>
  <property fmtid="{D5CDD505-2E9C-101B-9397-08002B2CF9AE}" pid="3" name="Order">
    <vt:r8>2343300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